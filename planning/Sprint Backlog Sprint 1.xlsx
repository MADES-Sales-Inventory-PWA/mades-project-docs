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Backlog" sheetId="1" r:id="rId5"/>
    <sheet state="visible" name="Hoja 1" sheetId="2" r:id="rId6"/>
  </sheets>
  <definedNames/>
  <calcPr/>
</workbook>
</file>

<file path=xl/sharedStrings.xml><?xml version="1.0" encoding="utf-8"?>
<sst xmlns="http://schemas.openxmlformats.org/spreadsheetml/2006/main" count="182" uniqueCount="105">
  <si>
    <t>Sprint Backlog 1   |   Proyecto: MADES   |   16/03/2026 – 27/03/2026</t>
  </si>
  <si>
    <t>ID Product Backlog</t>
  </si>
  <si>
    <t>Enunciado del ítem de Product Backlog</t>
  </si>
  <si>
    <t>Tarea</t>
  </si>
  <si>
    <t>Descripción de Tarea</t>
  </si>
  <si>
    <t>Dueño /
Voluntario</t>
  </si>
  <si>
    <t>Prioridad</t>
  </si>
  <si>
    <t>Tarea
Predecesora</t>
  </si>
  <si>
    <t>Estatus</t>
  </si>
  <si>
    <t>Horas
Est.</t>
  </si>
  <si>
    <t>SEMANA 1</t>
  </si>
  <si>
    <t>SEMANA 2</t>
  </si>
  <si>
    <t>SEMANA 3</t>
  </si>
  <si>
    <t>Día 1
16/03</t>
  </si>
  <si>
    <t>Día 2
17/03</t>
  </si>
  <si>
    <t>Día 3
18/03</t>
  </si>
  <si>
    <t>Día 4
19/03</t>
  </si>
  <si>
    <t>Día 5
20/03</t>
  </si>
  <si>
    <t>Día 6
23/03</t>
  </si>
  <si>
    <t>Día 7
24/03</t>
  </si>
  <si>
    <t>Día 8
25/03</t>
  </si>
  <si>
    <t>Día 9
26/03</t>
  </si>
  <si>
    <t>Día 10
27/03</t>
  </si>
  <si>
    <t>Día 11
30/03</t>
  </si>
  <si>
    <t>Día 12
31/03</t>
  </si>
  <si>
    <t>Día 13
01/04</t>
  </si>
  <si>
    <t>Día 14
02/04</t>
  </si>
  <si>
    <t>Día 15
03/04</t>
  </si>
  <si>
    <t>Total</t>
  </si>
  <si>
    <t>Cons.</t>
  </si>
  <si>
    <t>Rest.</t>
  </si>
  <si>
    <t>HU-01</t>
  </si>
  <si>
    <t>Como equipo, necesitamos configurar el repositorio Git, estructura Angular, Spring Boot y Docker.</t>
  </si>
  <si>
    <t>T-1</t>
  </si>
  <si>
    <t>Configuración repositorio Git (ramas main/develop, .gitignore, README)</t>
  </si>
  <si>
    <t>Johan Gil</t>
  </si>
  <si>
    <t>Alta</t>
  </si>
  <si>
    <t>Ninguna</t>
  </si>
  <si>
    <t>T-2</t>
  </si>
  <si>
    <t>Configuración proyecto Angular 17 + estructura de módulos base</t>
  </si>
  <si>
    <t>Edison Gutierrez</t>
  </si>
  <si>
    <t>T-3</t>
  </si>
  <si>
    <t>Configuración proyecto Spring Boot 3.x + estructura de paquetes base</t>
  </si>
  <si>
    <t>T-4</t>
  </si>
  <si>
    <t>Configuración Docker / docker-compose (PostgreSQL, backend, frontend)</t>
  </si>
  <si>
    <t>Miguel Avila</t>
  </si>
  <si>
    <t>T-2, T-3</t>
  </si>
  <si>
    <t>HU-02</t>
  </si>
  <si>
    <t>Como equipo, necesitamos configurar PostgreSQL y definir el esquema inicial de tablas.</t>
  </si>
  <si>
    <t>T-5</t>
  </si>
  <si>
    <t>Mapeo/diseño esquema inicial de BD (usuarios, productos, ventas)</t>
  </si>
  <si>
    <t>T-6</t>
  </si>
  <si>
    <t>Script SQL de creación de tablas versionado en repositorio</t>
  </si>
  <si>
    <t>T-7</t>
  </si>
  <si>
    <t>Test de integración: conexión Spring Boot → PostgreSQL verificada</t>
  </si>
  <si>
    <t>Media</t>
  </si>
  <si>
    <t>HU-03</t>
  </si>
  <si>
    <t>Como usuario registrado, quiero iniciar sesión con correo y contraseña para acceder según mi rol (RF1).</t>
  </si>
  <si>
    <t>T-8</t>
  </si>
  <si>
    <t>Levantamiento de requisitos del módulo de autenticación (RF1)</t>
  </si>
  <si>
    <t>Yesid Martinez</t>
  </si>
  <si>
    <t>T-9</t>
  </si>
  <si>
    <t>Desarrollo API de autenticación (Spring Security + JWT)</t>
  </si>
  <si>
    <t>T-10</t>
  </si>
  <si>
    <t>Desarrollo interfaz gráfica de login (Angular - formulario + validaciones)</t>
  </si>
  <si>
    <t>T-11</t>
  </si>
  <si>
    <t>Configuración control de roles (Admin/Empleado) en frontend y backend</t>
  </si>
  <si>
    <t>T-9, T-10</t>
  </si>
  <si>
    <t>T-12</t>
  </si>
  <si>
    <t>Unión back y front (login funcional end-to-end)</t>
  </si>
  <si>
    <t>HU-04</t>
  </si>
  <si>
    <t>Como usuario, quiero ver la barra de navegación principal tras el login según mi rol.</t>
  </si>
  <si>
    <t>T-13</t>
  </si>
  <si>
    <t>Desarrollo componente barra de navegación (Admin / Empleado)</t>
  </si>
  <si>
    <t>HU-05</t>
  </si>
  <si>
    <t>Como equipo, necesitamos la guía de identidad visual y componentes UI base en Angular.</t>
  </si>
  <si>
    <t>T-14</t>
  </si>
  <si>
    <t>Definición de guía de identidad visual (colores, tipografía, íconos)</t>
  </si>
  <si>
    <t>T-15</t>
  </si>
  <si>
    <t>Implementación de componentes UI reutilizables en Angular (botones, inputs, cards)</t>
  </si>
  <si>
    <t>T-17</t>
  </si>
  <si>
    <t>HU-06</t>
  </si>
  <si>
    <t>Como equipo, registrar el Service Worker inicial de la PWA (bases del modo offline).</t>
  </si>
  <si>
    <t>T-16</t>
  </si>
  <si>
    <t>Configuración manifest.json e íconos PWA</t>
  </si>
  <si>
    <t>Baja</t>
  </si>
  <si>
    <t>Registro del Service Worker inicial + caché básico de assets</t>
  </si>
  <si>
    <t>T-19</t>
  </si>
  <si>
    <t>TOTALES DEL SPRINT 1</t>
  </si>
  <si>
    <t>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</si>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</sst>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3.0"/>
      <color rgb="FFFFFFFF"/>
      <name val="Arial"/>
    </font>
    <font/>
    <font>
      <b/>
      <sz val="9.0"/>
      <color rgb="FFFFFFFF"/>
      <name val="Arial"/>
    </font>
    <font>
      <b/>
      <sz val="8.0"/>
      <color rgb="FF1F3864"/>
      <name val="Arial"/>
    </font>
    <font>
      <b/>
      <sz val="9.0"/>
      <color theme="1"/>
      <name val="Arial"/>
    </font>
    <font>
      <sz val="8.0"/>
      <color theme="1"/>
      <name val="Arial"/>
    </font>
    <font>
      <sz val="9.0"/>
      <color theme="1"/>
      <name val="Arial"/>
    </font>
    <font>
      <b/>
      <sz val="9.0"/>
      <color rgb="FFFF0000"/>
      <name val="Arial"/>
    </font>
    <font>
      <b/>
      <sz val="9.0"/>
      <color rgb="FFED7D31"/>
      <name val="Arial"/>
    </font>
    <font>
      <b/>
      <sz val="9.0"/>
      <color rgb="FF70AD47"/>
      <name val="Arial"/>
    </font>
    <font>
      <b/>
      <sz val="10.0"/>
      <color rgb="FFFFFFFF"/>
      <name val="Arial"/>
    </font>
    <font>
      <b/>
      <sz val="22.0"/>
      <color theme="1"/>
      <name val="Calibri"/>
    </font>
    <font>
      <sz val="11.0"/>
      <color theme="1"/>
      <name val="Calibri"/>
    </font>
    <font>
      <sz val="11.0"/>
      <color rgb="FFFFFFFF"/>
      <name val="Calibri"/>
    </font>
  </fonts>
  <fills count="12">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BDD7EE"/>
        <bgColor rgb="FFBDD7EE"/>
      </patternFill>
    </fill>
    <fill>
      <patternFill patternType="solid">
        <fgColor rgb="FFD9D9D9"/>
        <bgColor rgb="FFD9D9D9"/>
      </patternFill>
    </fill>
    <fill>
      <patternFill patternType="solid">
        <fgColor rgb="FFFFFFFF"/>
        <bgColor rgb="FFFFFFFF"/>
      </patternFill>
    </fill>
    <fill>
      <patternFill patternType="solid">
        <fgColor rgb="FFF2F2F2"/>
        <bgColor rgb="FFF2F2F2"/>
      </patternFill>
    </fill>
    <fill>
      <patternFill patternType="solid">
        <fgColor rgb="FFE2EFDA"/>
        <bgColor rgb="FFE2EFDA"/>
      </patternFill>
    </fill>
    <fill>
      <patternFill patternType="solid">
        <fgColor rgb="FFDEEAF1"/>
        <bgColor rgb="FFDEEAF1"/>
      </patternFill>
    </fill>
    <fill>
      <patternFill patternType="solid">
        <fgColor rgb="FFFFF2CC"/>
        <bgColor rgb="FFFFF2CC"/>
      </patternFill>
    </fill>
    <fill>
      <patternFill patternType="solid">
        <fgColor rgb="FF1F497D"/>
        <bgColor rgb="FF1F497D"/>
      </patternFill>
    </fill>
  </fills>
  <borders count="14">
    <border/>
    <border>
      <left style="medium">
        <color rgb="FF1F3864"/>
      </left>
      <top style="medium">
        <color rgb="FF1F3864"/>
      </top>
      <bottom style="medium">
        <color rgb="FF1F3864"/>
      </bottom>
    </border>
    <border>
      <top style="medium">
        <color rgb="FF1F3864"/>
      </top>
      <bottom style="medium">
        <color rgb="FF1F3864"/>
      </bottom>
    </border>
    <border>
      <right/>
      <top style="medium">
        <color rgb="FF1F3864"/>
      </top>
      <bottom style="medium">
        <color rgb="FF1F3864"/>
      </bottom>
    </border>
    <border>
      <left style="thin">
        <color rgb="FFBFBFBF"/>
      </left>
      <right style="thin">
        <color rgb="FFBFBFBF"/>
      </right>
      <top style="thin">
        <color rgb="FFBFBFBF"/>
      </top>
    </border>
    <border>
      <right/>
    </border>
    <border>
      <left style="thin">
        <color rgb="FFBFBFBF"/>
      </left>
      <right style="thin">
        <color rgb="FFBFBFBF"/>
      </right>
    </border>
    <border>
      <left style="thin">
        <color rgb="FF1F3864"/>
      </left>
      <top style="thin">
        <color rgb="FF1F3864"/>
      </top>
      <bottom style="thin">
        <color rgb="FF1F3864"/>
      </bottom>
    </border>
    <border>
      <right/>
      <top style="thin">
        <color rgb="FF1F3864"/>
      </top>
      <bottom style="thin">
        <color rgb="FF1F3864"/>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style="medium">
        <color rgb="FF1F3864"/>
      </left>
      <right style="medium">
        <color rgb="FF1F3864"/>
      </right>
      <top style="medium">
        <color rgb="FF1F3864"/>
      </top>
      <bottom style="medium">
        <color rgb="FF1F3864"/>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4" fillId="3" fontId="3" numFmtId="0" xfId="0" applyAlignment="1" applyBorder="1" applyFill="1" applyFont="1">
      <alignment horizontal="center" readingOrder="0" shrinkToFit="0" vertical="center" wrapText="1"/>
    </xf>
    <xf borderId="4" fillId="3" fontId="3" numFmtId="0" xfId="0" applyAlignment="1" applyBorder="1" applyFont="1">
      <alignment horizontal="center" shrinkToFit="0" vertical="center" wrapText="1"/>
    </xf>
    <xf borderId="0" fillId="4" fontId="4" numFmtId="0" xfId="0" applyAlignment="1" applyFill="1" applyFont="1">
      <alignment horizontal="center" readingOrder="0" shrinkToFit="0" vertical="center" wrapText="1"/>
    </xf>
    <xf borderId="5" fillId="0" fontId="2" numFmtId="0" xfId="0" applyBorder="1" applyFont="1"/>
    <xf borderId="5" fillId="2" fontId="3" numFmtId="0" xfId="0" applyAlignment="1" applyBorder="1" applyFont="1">
      <alignment horizontal="center" shrinkToFit="0" vertical="center" wrapText="0"/>
    </xf>
    <xf borderId="6" fillId="0" fontId="2" numFmtId="0" xfId="0" applyBorder="1" applyFont="1"/>
    <xf borderId="7" fillId="4" fontId="4" numFmtId="0" xfId="0" applyAlignment="1" applyBorder="1" applyFont="1">
      <alignment horizontal="center" shrinkToFit="0" vertical="center" wrapText="1"/>
    </xf>
    <xf borderId="8" fillId="0" fontId="2" numFmtId="0" xfId="0" applyBorder="1" applyFont="1"/>
    <xf borderId="7" fillId="4" fontId="4" numFmtId="0" xfId="0" applyAlignment="1" applyBorder="1" applyFont="1">
      <alignment horizontal="center" readingOrder="0" shrinkToFit="0" vertical="center" wrapText="1"/>
    </xf>
    <xf borderId="7" fillId="2" fontId="3" numFmtId="0" xfId="0" applyAlignment="1" applyBorder="1" applyFont="1">
      <alignment horizontal="center" shrinkToFit="0" vertical="center" wrapText="0"/>
    </xf>
    <xf borderId="9" fillId="0" fontId="2" numFmtId="0" xfId="0" applyBorder="1" applyFont="1"/>
    <xf borderId="10" fillId="5" fontId="4" numFmtId="0" xfId="0" applyAlignment="1" applyBorder="1" applyFill="1" applyFont="1">
      <alignment horizontal="center" shrinkToFit="0" vertical="center" wrapText="0"/>
    </xf>
    <xf borderId="10" fillId="2" fontId="3" numFmtId="0" xfId="0" applyAlignment="1" applyBorder="1" applyFont="1">
      <alignment horizontal="center" shrinkToFit="0" vertical="center" wrapText="0"/>
    </xf>
    <xf borderId="4" fillId="6" fontId="5" numFmtId="0" xfId="0" applyAlignment="1" applyBorder="1" applyFill="1" applyFont="1">
      <alignment horizontal="center" shrinkToFit="0" vertical="center" wrapText="0"/>
    </xf>
    <xf borderId="4" fillId="6" fontId="6" numFmtId="0" xfId="0" applyAlignment="1" applyBorder="1" applyFont="1">
      <alignment horizontal="left" shrinkToFit="0" vertical="center" wrapText="1"/>
    </xf>
    <xf borderId="10" fillId="6" fontId="5" numFmtId="0" xfId="0" applyAlignment="1" applyBorder="1" applyFont="1">
      <alignment horizontal="center" shrinkToFit="0" vertical="center" wrapText="0"/>
    </xf>
    <xf borderId="10" fillId="6" fontId="6" numFmtId="0" xfId="0" applyAlignment="1" applyBorder="1" applyFont="1">
      <alignment horizontal="left" shrinkToFit="0" vertical="center" wrapText="1"/>
    </xf>
    <xf borderId="10" fillId="6" fontId="7" numFmtId="0" xfId="0" applyAlignment="1" applyBorder="1" applyFont="1">
      <alignment horizontal="left" shrinkToFit="0" vertical="center" wrapText="0"/>
    </xf>
    <xf borderId="10" fillId="6" fontId="8" numFmtId="0" xfId="0" applyAlignment="1" applyBorder="1" applyFont="1">
      <alignment horizontal="center" shrinkToFit="0" vertical="center" wrapText="0"/>
    </xf>
    <xf borderId="10" fillId="6" fontId="6" numFmtId="0" xfId="0" applyAlignment="1" applyBorder="1" applyFont="1">
      <alignment horizontal="center" shrinkToFit="0" vertical="center" wrapText="0"/>
    </xf>
    <xf borderId="10" fillId="7" fontId="7" numFmtId="0" xfId="0" applyAlignment="1" applyBorder="1" applyFill="1" applyFont="1">
      <alignment horizontal="center" shrinkToFit="0" vertical="center" wrapText="0"/>
    </xf>
    <xf borderId="10" fillId="6" fontId="7" numFmtId="0" xfId="0" applyAlignment="1" applyBorder="1" applyFont="1">
      <alignment horizontal="center" readingOrder="0" shrinkToFit="0" vertical="center" wrapText="0"/>
    </xf>
    <xf borderId="10" fillId="0" fontId="6" numFmtId="0" xfId="0" applyAlignment="1" applyBorder="1" applyFont="1">
      <alignment horizontal="center" readingOrder="0" shrinkToFit="0" vertical="center" wrapText="0"/>
    </xf>
    <xf borderId="10" fillId="0" fontId="6" numFmtId="0" xfId="0" applyAlignment="1" applyBorder="1" applyFont="1">
      <alignment horizontal="center" shrinkToFit="0" vertical="center" wrapText="0"/>
    </xf>
    <xf borderId="10" fillId="4" fontId="5" numFmtId="0" xfId="0" applyAlignment="1" applyBorder="1" applyFont="1">
      <alignment horizontal="center" readingOrder="0" shrinkToFit="0" vertical="center" wrapText="0"/>
    </xf>
    <xf borderId="10" fillId="8" fontId="5" numFmtId="0" xfId="0" applyAlignment="1" applyBorder="1" applyFill="1" applyFont="1">
      <alignment horizontal="center" shrinkToFit="0" vertical="center" wrapText="0"/>
    </xf>
    <xf borderId="4" fillId="9" fontId="5" numFmtId="0" xfId="0" applyAlignment="1" applyBorder="1" applyFill="1" applyFont="1">
      <alignment horizontal="center" shrinkToFit="0" vertical="center" wrapText="0"/>
    </xf>
    <xf borderId="4" fillId="9" fontId="6" numFmtId="0" xfId="0" applyAlignment="1" applyBorder="1" applyFont="1">
      <alignment horizontal="left" shrinkToFit="0" vertical="center" wrapText="1"/>
    </xf>
    <xf borderId="10" fillId="9" fontId="5" numFmtId="0" xfId="0" applyAlignment="1" applyBorder="1" applyFont="1">
      <alignment horizontal="center" shrinkToFit="0" vertical="center" wrapText="0"/>
    </xf>
    <xf borderId="10" fillId="9" fontId="6" numFmtId="0" xfId="0" applyAlignment="1" applyBorder="1" applyFont="1">
      <alignment horizontal="left" shrinkToFit="0" vertical="center" wrapText="1"/>
    </xf>
    <xf borderId="10" fillId="9" fontId="7" numFmtId="0" xfId="0" applyAlignment="1" applyBorder="1" applyFont="1">
      <alignment horizontal="left" shrinkToFit="0" vertical="center" wrapText="0"/>
    </xf>
    <xf borderId="10" fillId="9" fontId="8" numFmtId="0" xfId="0" applyAlignment="1" applyBorder="1" applyFont="1">
      <alignment horizontal="center" shrinkToFit="0" vertical="center" wrapText="0"/>
    </xf>
    <xf borderId="10" fillId="9" fontId="6" numFmtId="0" xfId="0" applyAlignment="1" applyBorder="1" applyFont="1">
      <alignment horizontal="center" shrinkToFit="0" vertical="center" wrapText="0"/>
    </xf>
    <xf borderId="10" fillId="9" fontId="7" numFmtId="0" xfId="0" applyAlignment="1" applyBorder="1" applyFont="1">
      <alignment horizontal="center" readingOrder="0" shrinkToFit="0" vertical="center" wrapText="0"/>
    </xf>
    <xf borderId="10" fillId="9" fontId="6" numFmtId="0" xfId="0" applyAlignment="1" applyBorder="1" applyFont="1">
      <alignment horizontal="center" readingOrder="0" shrinkToFit="0" vertical="center" wrapText="0"/>
    </xf>
    <xf borderId="10" fillId="10" fontId="6" numFmtId="0" xfId="0" applyAlignment="1" applyBorder="1" applyFill="1" applyFont="1">
      <alignment horizontal="center" readingOrder="0" shrinkToFit="0" vertical="center" wrapText="0"/>
    </xf>
    <xf borderId="10" fillId="8" fontId="6" numFmtId="0" xfId="0" applyAlignment="1" applyBorder="1" applyFont="1">
      <alignment horizontal="center" shrinkToFit="0" vertical="center" wrapText="0"/>
    </xf>
    <xf borderId="10" fillId="9" fontId="9" numFmtId="0" xfId="0" applyAlignment="1" applyBorder="1" applyFont="1">
      <alignment horizontal="center" shrinkToFit="0" vertical="center" wrapText="0"/>
    </xf>
    <xf borderId="10" fillId="6" fontId="7" numFmtId="0" xfId="0" applyAlignment="1" applyBorder="1" applyFont="1">
      <alignment horizontal="center" shrinkToFit="0" vertical="center" wrapText="0"/>
    </xf>
    <xf borderId="10" fillId="6" fontId="5" numFmtId="0" xfId="0" applyAlignment="1" applyBorder="1" applyFont="1">
      <alignment horizontal="center" readingOrder="0" shrinkToFit="0" vertical="center" wrapText="0"/>
    </xf>
    <xf borderId="10" fillId="9" fontId="5" numFmtId="0" xfId="0" applyAlignment="1" applyBorder="1" applyFont="1">
      <alignment horizontal="center" readingOrder="0" shrinkToFit="0" vertical="center" wrapText="0"/>
    </xf>
    <xf borderId="10" fillId="9" fontId="7" numFmtId="0" xfId="0" applyAlignment="1" applyBorder="1" applyFont="1">
      <alignment horizontal="center" shrinkToFit="0" vertical="center" wrapText="0"/>
    </xf>
    <xf borderId="10" fillId="6" fontId="9" numFmtId="0" xfId="0" applyAlignment="1" applyBorder="1" applyFont="1">
      <alignment horizontal="center" shrinkToFit="0" vertical="center" wrapText="0"/>
    </xf>
    <xf borderId="10" fillId="9" fontId="10" numFmtId="0" xfId="0" applyAlignment="1" applyBorder="1" applyFont="1">
      <alignment horizontal="center" shrinkToFit="0" vertical="center" wrapText="0"/>
    </xf>
    <xf borderId="1" fillId="2" fontId="11" numFmtId="0" xfId="0" applyAlignment="1" applyBorder="1" applyFont="1">
      <alignment horizontal="center" shrinkToFit="0" vertical="center" wrapText="0"/>
    </xf>
    <xf borderId="11" fillId="2" fontId="11" numFmtId="0" xfId="0" applyAlignment="1" applyBorder="1" applyFont="1">
      <alignment horizontal="center" shrinkToFit="0" vertical="center" wrapText="0"/>
    </xf>
    <xf borderId="11" fillId="2" fontId="3" numFmtId="0" xfId="0" applyAlignment="1" applyBorder="1" applyFont="1">
      <alignment horizontal="center" shrinkToFit="0" vertical="center" wrapText="0"/>
    </xf>
    <xf borderId="12" fillId="6" fontId="12" numFmtId="0" xfId="0" applyAlignment="1" applyBorder="1" applyFont="1">
      <alignment vertical="bottom"/>
    </xf>
    <xf borderId="12" fillId="6" fontId="13" numFmtId="0" xfId="0" applyAlignment="1" applyBorder="1" applyFont="1">
      <alignment vertical="bottom"/>
    </xf>
    <xf borderId="13" fillId="11" fontId="14" numFmtId="0" xfId="0" applyAlignment="1" applyBorder="1" applyFill="1" applyFont="1">
      <alignment vertical="bottom"/>
    </xf>
    <xf borderId="13" fillId="6" fontId="13" numFmtId="0" xfId="0" applyAlignment="1" applyBorder="1" applyFont="1">
      <alignment readingOrder="0" shrinkToFit="0" vertical="top" wrapText="1"/>
    </xf>
    <xf borderId="13" fillId="6" fontId="13" numFmtId="0" xfId="0" applyAlignment="1" applyBorder="1" applyFont="1">
      <alignment shrinkToFit="0" vertical="top" wrapText="1"/>
    </xf>
  </cellXfs>
  <cellStyles count="1">
    <cellStyle xfId="0" name="Normal" builtinId="0"/>
  </cellStyles>
  <dxfs count="7">
    <dxf>
      <font/>
      <fill>
        <patternFill patternType="solid">
          <fgColor rgb="FFFFF2CC"/>
          <bgColor rgb="FFFFF2CC"/>
        </patternFill>
      </fill>
      <border/>
    </dxf>
    <dxf>
      <font/>
      <fill>
        <patternFill patternType="none"/>
      </fill>
      <border/>
    </dxf>
    <dxf>
      <font/>
      <fill>
        <patternFill patternType="solid">
          <fgColor rgb="FFD9EAD3"/>
          <bgColor rgb="FFD9EAD3"/>
        </patternFill>
      </fill>
      <border/>
    </dxf>
    <dxf>
      <font/>
      <fill>
        <patternFill patternType="solid">
          <fgColor rgb="FFDEEAF1"/>
          <bgColor rgb="FFDEEAF1"/>
        </patternFill>
      </fill>
      <border/>
    </dxf>
    <dxf>
      <font/>
      <fill>
        <patternFill patternType="solid">
          <fgColor rgb="FFFCE5CD"/>
          <bgColor rgb="FFFCE5CD"/>
        </patternFill>
      </fill>
      <border/>
    </dxf>
    <dxf>
      <font/>
      <fill>
        <patternFill patternType="solid">
          <fgColor rgb="FFC9DAF8"/>
          <bgColor rgb="FFC9DAF8"/>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6.29"/>
    <col customWidth="1" min="2" max="2" width="30.0"/>
    <col customWidth="1" min="3" max="3" width="6.0"/>
    <col customWidth="1" min="4" max="4" width="36.0"/>
    <col customWidth="1" min="5" max="5" width="16.0"/>
    <col customWidth="1" min="6" max="6" width="9.0"/>
    <col customWidth="1" min="7" max="7" width="12.0"/>
    <col customWidth="1" min="8" max="8" width="11.0"/>
    <col customWidth="1" min="9" max="9" width="8.0"/>
    <col customWidth="1" min="10" max="39" width="5.57"/>
    <col customWidth="1" min="40" max="41" width="8.0"/>
  </cols>
  <sheetData>
    <row r="1" ht="30.0"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3"/>
    </row>
    <row r="2" ht="19.5" customHeight="1">
      <c r="A2" s="4" t="s">
        <v>1</v>
      </c>
      <c r="B2" s="5" t="s">
        <v>2</v>
      </c>
      <c r="C2" s="5" t="s">
        <v>3</v>
      </c>
      <c r="D2" s="5" t="s">
        <v>4</v>
      </c>
      <c r="E2" s="5" t="s">
        <v>5</v>
      </c>
      <c r="F2" s="5" t="s">
        <v>6</v>
      </c>
      <c r="G2" s="5" t="s">
        <v>7</v>
      </c>
      <c r="H2" s="5" t="s">
        <v>8</v>
      </c>
      <c r="I2" s="5" t="s">
        <v>9</v>
      </c>
      <c r="J2" s="6" t="s">
        <v>10</v>
      </c>
      <c r="S2" s="7"/>
      <c r="T2" s="6" t="s">
        <v>11</v>
      </c>
      <c r="AC2" s="7"/>
      <c r="AD2" s="6" t="s">
        <v>12</v>
      </c>
      <c r="AM2" s="7"/>
      <c r="AN2" s="8"/>
      <c r="AO2" s="8"/>
    </row>
    <row r="3" ht="19.5" customHeight="1">
      <c r="A3" s="9"/>
      <c r="B3" s="9"/>
      <c r="C3" s="9"/>
      <c r="D3" s="9"/>
      <c r="E3" s="9"/>
      <c r="F3" s="9"/>
      <c r="G3" s="9"/>
      <c r="H3" s="9"/>
      <c r="I3" s="9"/>
      <c r="J3" s="10" t="s">
        <v>13</v>
      </c>
      <c r="K3" s="11"/>
      <c r="L3" s="10" t="s">
        <v>14</v>
      </c>
      <c r="M3" s="11"/>
      <c r="N3" s="10" t="s">
        <v>15</v>
      </c>
      <c r="O3" s="11"/>
      <c r="P3" s="10" t="s">
        <v>16</v>
      </c>
      <c r="Q3" s="11"/>
      <c r="R3" s="10" t="s">
        <v>17</v>
      </c>
      <c r="S3" s="11"/>
      <c r="T3" s="10" t="s">
        <v>18</v>
      </c>
      <c r="U3" s="11"/>
      <c r="V3" s="10" t="s">
        <v>19</v>
      </c>
      <c r="W3" s="11"/>
      <c r="X3" s="10" t="s">
        <v>20</v>
      </c>
      <c r="Y3" s="11"/>
      <c r="Z3" s="10" t="s">
        <v>21</v>
      </c>
      <c r="AA3" s="11"/>
      <c r="AB3" s="10" t="s">
        <v>22</v>
      </c>
      <c r="AC3" s="11"/>
      <c r="AD3" s="12" t="s">
        <v>23</v>
      </c>
      <c r="AE3" s="11"/>
      <c r="AF3" s="12" t="s">
        <v>24</v>
      </c>
      <c r="AG3" s="11"/>
      <c r="AH3" s="12" t="s">
        <v>25</v>
      </c>
      <c r="AI3" s="11"/>
      <c r="AJ3" s="12" t="s">
        <v>26</v>
      </c>
      <c r="AK3" s="11"/>
      <c r="AL3" s="12" t="s">
        <v>27</v>
      </c>
      <c r="AM3" s="11"/>
      <c r="AN3" s="13" t="s">
        <v>28</v>
      </c>
      <c r="AO3" s="11"/>
    </row>
    <row r="4" ht="24.0" customHeight="1">
      <c r="A4" s="14"/>
      <c r="B4" s="14"/>
      <c r="C4" s="14"/>
      <c r="D4" s="14"/>
      <c r="E4" s="14"/>
      <c r="F4" s="14"/>
      <c r="G4" s="14"/>
      <c r="H4" s="14"/>
      <c r="I4" s="14"/>
      <c r="J4" s="15" t="s">
        <v>29</v>
      </c>
      <c r="K4" s="15" t="s">
        <v>30</v>
      </c>
      <c r="L4" s="15" t="s">
        <v>29</v>
      </c>
      <c r="M4" s="15" t="s">
        <v>30</v>
      </c>
      <c r="N4" s="15" t="s">
        <v>29</v>
      </c>
      <c r="O4" s="15" t="s">
        <v>30</v>
      </c>
      <c r="P4" s="15" t="s">
        <v>29</v>
      </c>
      <c r="Q4" s="15" t="s">
        <v>30</v>
      </c>
      <c r="R4" s="15" t="s">
        <v>29</v>
      </c>
      <c r="S4" s="15" t="s">
        <v>30</v>
      </c>
      <c r="T4" s="15" t="s">
        <v>29</v>
      </c>
      <c r="U4" s="15" t="s">
        <v>30</v>
      </c>
      <c r="V4" s="15" t="s">
        <v>29</v>
      </c>
      <c r="W4" s="15" t="s">
        <v>30</v>
      </c>
      <c r="X4" s="15" t="s">
        <v>29</v>
      </c>
      <c r="Y4" s="15" t="s">
        <v>30</v>
      </c>
      <c r="Z4" s="15" t="s">
        <v>29</v>
      </c>
      <c r="AA4" s="15" t="s">
        <v>30</v>
      </c>
      <c r="AB4" s="15" t="s">
        <v>29</v>
      </c>
      <c r="AC4" s="15" t="s">
        <v>30</v>
      </c>
      <c r="AD4" s="15" t="s">
        <v>29</v>
      </c>
      <c r="AE4" s="15" t="s">
        <v>30</v>
      </c>
      <c r="AF4" s="15" t="s">
        <v>29</v>
      </c>
      <c r="AG4" s="15" t="s">
        <v>30</v>
      </c>
      <c r="AH4" s="15" t="s">
        <v>29</v>
      </c>
      <c r="AI4" s="15" t="s">
        <v>30</v>
      </c>
      <c r="AJ4" s="15" t="s">
        <v>29</v>
      </c>
      <c r="AK4" s="15" t="s">
        <v>30</v>
      </c>
      <c r="AL4" s="15" t="s">
        <v>29</v>
      </c>
      <c r="AM4" s="15" t="s">
        <v>30</v>
      </c>
      <c r="AN4" s="16" t="s">
        <v>29</v>
      </c>
      <c r="AO4" s="16" t="s">
        <v>30</v>
      </c>
    </row>
    <row r="5" ht="30.0" customHeight="1">
      <c r="A5" s="17" t="s">
        <v>31</v>
      </c>
      <c r="B5" s="18" t="s">
        <v>32</v>
      </c>
      <c r="C5" s="19" t="s">
        <v>33</v>
      </c>
      <c r="D5" s="20" t="s">
        <v>34</v>
      </c>
      <c r="E5" s="21" t="s">
        <v>35</v>
      </c>
      <c r="F5" s="22" t="s">
        <v>36</v>
      </c>
      <c r="G5" s="23" t="s">
        <v>37</v>
      </c>
      <c r="H5" s="24" t="str">
        <f t="shared" ref="H5:H21" si="1">IFS(AND(AN5&gt;0,AN5&lt;I5),"En curso",AN5=0,"Pendiente", AN5=I5,"Completada")</f>
        <v>Pendiente</v>
      </c>
      <c r="I5" s="25">
        <v>1.0</v>
      </c>
      <c r="J5" s="26"/>
      <c r="K5" s="27">
        <f t="shared" ref="K5:K21" si="2">I5-J5</f>
        <v>1</v>
      </c>
      <c r="L5" s="26"/>
      <c r="M5" s="27">
        <f t="shared" ref="M5:M21" si="3">I5-(J5+L5)</f>
        <v>1</v>
      </c>
      <c r="N5" s="26"/>
      <c r="O5" s="27">
        <f t="shared" ref="O5:O21" si="4">I5-(J5+L5+N5)</f>
        <v>1</v>
      </c>
      <c r="P5" s="26"/>
      <c r="Q5" s="27">
        <f t="shared" ref="Q5:Q21" si="5">I5-(J5+L5+N5+P5)</f>
        <v>1</v>
      </c>
      <c r="R5" s="26"/>
      <c r="S5" s="27">
        <f t="shared" ref="S5:S21" si="6">I5-(J5+L5+N5+P5+R5)</f>
        <v>1</v>
      </c>
      <c r="T5" s="26"/>
      <c r="U5" s="27">
        <f t="shared" ref="U5:U21" si="7">I5-(J5+L5+N5+P5+R5+T5)</f>
        <v>1</v>
      </c>
      <c r="V5" s="26"/>
      <c r="W5" s="27">
        <f t="shared" ref="W5:W21" si="8">I5-(J5+L5+N5+P5+R5+T5+V5)</f>
        <v>1</v>
      </c>
      <c r="X5" s="26"/>
      <c r="Y5" s="27">
        <f t="shared" ref="Y5:Y21" si="9">I5-(J5+L5+N5+P5+R5+T5+V5+X5)</f>
        <v>1</v>
      </c>
      <c r="Z5" s="26"/>
      <c r="AA5" s="27">
        <f t="shared" ref="AA5:AA21" si="10">I5-(J5+L5+N5+P5+R5+T5+V5+X5+Z5)</f>
        <v>1</v>
      </c>
      <c r="AB5" s="26"/>
      <c r="AC5" s="27">
        <f t="shared" ref="AC5:AC21" si="11">I5-(J5+L5+N5+P5+R5+T5+V5+X5+Z5+AB5)</f>
        <v>1</v>
      </c>
      <c r="AD5" s="26"/>
      <c r="AE5" s="27">
        <f t="shared" ref="AE5:AE21" si="12">S5-(T5+V5+X5+Z5+AB5+AD5)</f>
        <v>1</v>
      </c>
      <c r="AF5" s="26"/>
      <c r="AG5" s="27">
        <f t="shared" ref="AG5:AG21" si="13">S5-(T5+V5+X5+Z5+AB5+AD5+AF5)</f>
        <v>1</v>
      </c>
      <c r="AH5" s="26"/>
      <c r="AI5" s="27">
        <f t="shared" ref="AI5:AI21" si="14">S5-(T5+V5+X5+Z5+AB5+AD5+AF5+AH5)</f>
        <v>1</v>
      </c>
      <c r="AJ5" s="26"/>
      <c r="AK5" s="27">
        <f t="shared" ref="AK5:AK21" si="15">S5-(T5+V5+X5+Z5+AB5+AD5+AF5+AH5+AJ5)</f>
        <v>1</v>
      </c>
      <c r="AL5" s="26"/>
      <c r="AM5" s="27">
        <f t="shared" ref="AM5:AM21" si="16">S5-(T5+V5+X5+Z5+AB5+AD5+AF5+AH5+AJ5+AL5)</f>
        <v>1</v>
      </c>
      <c r="AN5" s="28">
        <f t="shared" ref="AN5:AN21" si="17">SUM(J5,L5,N5,P5,R5,T5,V5,X5,Z5,AB5,AD5,AF5,AH5,AJ5,AL5)</f>
        <v>0</v>
      </c>
      <c r="AO5" s="29">
        <f t="shared" ref="AO5:AO21" si="18">I5-AN5</f>
        <v>1</v>
      </c>
    </row>
    <row r="6" ht="30.0" customHeight="1">
      <c r="A6" s="9"/>
      <c r="B6" s="9"/>
      <c r="C6" s="19" t="s">
        <v>38</v>
      </c>
      <c r="D6" s="20" t="s">
        <v>39</v>
      </c>
      <c r="E6" s="21" t="s">
        <v>40</v>
      </c>
      <c r="F6" s="22" t="s">
        <v>36</v>
      </c>
      <c r="G6" s="23" t="s">
        <v>33</v>
      </c>
      <c r="H6" s="24" t="str">
        <f t="shared" si="1"/>
        <v>Pendiente</v>
      </c>
      <c r="I6" s="25">
        <v>1.0</v>
      </c>
      <c r="J6" s="26"/>
      <c r="K6" s="27">
        <f t="shared" si="2"/>
        <v>1</v>
      </c>
      <c r="L6" s="26"/>
      <c r="M6" s="27">
        <f t="shared" si="3"/>
        <v>1</v>
      </c>
      <c r="N6" s="26"/>
      <c r="O6" s="27">
        <f t="shared" si="4"/>
        <v>1</v>
      </c>
      <c r="P6" s="26"/>
      <c r="Q6" s="27">
        <f t="shared" si="5"/>
        <v>1</v>
      </c>
      <c r="R6" s="26"/>
      <c r="S6" s="27">
        <f t="shared" si="6"/>
        <v>1</v>
      </c>
      <c r="T6" s="26"/>
      <c r="U6" s="27">
        <f t="shared" si="7"/>
        <v>1</v>
      </c>
      <c r="V6" s="26"/>
      <c r="W6" s="27">
        <f t="shared" si="8"/>
        <v>1</v>
      </c>
      <c r="X6" s="26"/>
      <c r="Y6" s="27">
        <f t="shared" si="9"/>
        <v>1</v>
      </c>
      <c r="Z6" s="26"/>
      <c r="AA6" s="27">
        <f t="shared" si="10"/>
        <v>1</v>
      </c>
      <c r="AB6" s="26"/>
      <c r="AC6" s="27">
        <f t="shared" si="11"/>
        <v>1</v>
      </c>
      <c r="AD6" s="26"/>
      <c r="AE6" s="27">
        <f t="shared" si="12"/>
        <v>1</v>
      </c>
      <c r="AF6" s="26"/>
      <c r="AG6" s="27">
        <f t="shared" si="13"/>
        <v>1</v>
      </c>
      <c r="AH6" s="26"/>
      <c r="AI6" s="27">
        <f t="shared" si="14"/>
        <v>1</v>
      </c>
      <c r="AJ6" s="26"/>
      <c r="AK6" s="27">
        <f t="shared" si="15"/>
        <v>1</v>
      </c>
      <c r="AL6" s="26"/>
      <c r="AM6" s="27">
        <f t="shared" si="16"/>
        <v>1</v>
      </c>
      <c r="AN6" s="28">
        <f t="shared" si="17"/>
        <v>0</v>
      </c>
      <c r="AO6" s="29">
        <f t="shared" si="18"/>
        <v>1</v>
      </c>
    </row>
    <row r="7" ht="30.0" customHeight="1">
      <c r="A7" s="9"/>
      <c r="B7" s="9"/>
      <c r="C7" s="19" t="s">
        <v>41</v>
      </c>
      <c r="D7" s="20" t="s">
        <v>42</v>
      </c>
      <c r="E7" s="21" t="s">
        <v>35</v>
      </c>
      <c r="F7" s="22" t="s">
        <v>36</v>
      </c>
      <c r="G7" s="23" t="s">
        <v>33</v>
      </c>
      <c r="H7" s="24" t="str">
        <f t="shared" si="1"/>
        <v>Pendiente</v>
      </c>
      <c r="I7" s="25">
        <v>1.0</v>
      </c>
      <c r="J7" s="26"/>
      <c r="K7" s="27">
        <f t="shared" si="2"/>
        <v>1</v>
      </c>
      <c r="L7" s="26"/>
      <c r="M7" s="27">
        <f t="shared" si="3"/>
        <v>1</v>
      </c>
      <c r="N7" s="26"/>
      <c r="O7" s="27">
        <f t="shared" si="4"/>
        <v>1</v>
      </c>
      <c r="P7" s="26"/>
      <c r="Q7" s="27">
        <f t="shared" si="5"/>
        <v>1</v>
      </c>
      <c r="R7" s="26"/>
      <c r="S7" s="27">
        <f t="shared" si="6"/>
        <v>1</v>
      </c>
      <c r="T7" s="26"/>
      <c r="U7" s="27">
        <f t="shared" si="7"/>
        <v>1</v>
      </c>
      <c r="V7" s="26"/>
      <c r="W7" s="27">
        <f t="shared" si="8"/>
        <v>1</v>
      </c>
      <c r="X7" s="26"/>
      <c r="Y7" s="27">
        <f t="shared" si="9"/>
        <v>1</v>
      </c>
      <c r="Z7" s="26"/>
      <c r="AA7" s="27">
        <f t="shared" si="10"/>
        <v>1</v>
      </c>
      <c r="AB7" s="26"/>
      <c r="AC7" s="27">
        <f t="shared" si="11"/>
        <v>1</v>
      </c>
      <c r="AD7" s="26"/>
      <c r="AE7" s="27">
        <f t="shared" si="12"/>
        <v>1</v>
      </c>
      <c r="AF7" s="26"/>
      <c r="AG7" s="27">
        <f t="shared" si="13"/>
        <v>1</v>
      </c>
      <c r="AH7" s="26"/>
      <c r="AI7" s="27">
        <f t="shared" si="14"/>
        <v>1</v>
      </c>
      <c r="AJ7" s="26"/>
      <c r="AK7" s="27">
        <f t="shared" si="15"/>
        <v>1</v>
      </c>
      <c r="AL7" s="26"/>
      <c r="AM7" s="27">
        <f t="shared" si="16"/>
        <v>1</v>
      </c>
      <c r="AN7" s="28">
        <f t="shared" si="17"/>
        <v>0</v>
      </c>
      <c r="AO7" s="29">
        <f t="shared" si="18"/>
        <v>1</v>
      </c>
    </row>
    <row r="8" ht="30.0" customHeight="1">
      <c r="A8" s="14"/>
      <c r="B8" s="14"/>
      <c r="C8" s="19" t="s">
        <v>43</v>
      </c>
      <c r="D8" s="20" t="s">
        <v>44</v>
      </c>
      <c r="E8" s="21" t="s">
        <v>45</v>
      </c>
      <c r="F8" s="22" t="s">
        <v>36</v>
      </c>
      <c r="G8" s="23" t="s">
        <v>46</v>
      </c>
      <c r="H8" s="24" t="str">
        <f t="shared" si="1"/>
        <v>Pendiente</v>
      </c>
      <c r="I8" s="25">
        <v>2.0</v>
      </c>
      <c r="J8" s="26"/>
      <c r="K8" s="27">
        <f t="shared" si="2"/>
        <v>2</v>
      </c>
      <c r="L8" s="26"/>
      <c r="M8" s="27">
        <f t="shared" si="3"/>
        <v>2</v>
      </c>
      <c r="N8" s="26"/>
      <c r="O8" s="27">
        <f t="shared" si="4"/>
        <v>2</v>
      </c>
      <c r="P8" s="26"/>
      <c r="Q8" s="27">
        <f t="shared" si="5"/>
        <v>2</v>
      </c>
      <c r="R8" s="26"/>
      <c r="S8" s="27">
        <f t="shared" si="6"/>
        <v>2</v>
      </c>
      <c r="T8" s="26"/>
      <c r="U8" s="27">
        <f t="shared" si="7"/>
        <v>2</v>
      </c>
      <c r="V8" s="26"/>
      <c r="W8" s="27">
        <f t="shared" si="8"/>
        <v>2</v>
      </c>
      <c r="X8" s="26"/>
      <c r="Y8" s="27">
        <f t="shared" si="9"/>
        <v>2</v>
      </c>
      <c r="Z8" s="26"/>
      <c r="AA8" s="27">
        <f t="shared" si="10"/>
        <v>2</v>
      </c>
      <c r="AB8" s="26"/>
      <c r="AC8" s="27">
        <f t="shared" si="11"/>
        <v>2</v>
      </c>
      <c r="AD8" s="26"/>
      <c r="AE8" s="27">
        <f t="shared" si="12"/>
        <v>2</v>
      </c>
      <c r="AF8" s="26"/>
      <c r="AG8" s="27">
        <f t="shared" si="13"/>
        <v>2</v>
      </c>
      <c r="AH8" s="26"/>
      <c r="AI8" s="27">
        <f t="shared" si="14"/>
        <v>2</v>
      </c>
      <c r="AJ8" s="26"/>
      <c r="AK8" s="27">
        <f t="shared" si="15"/>
        <v>2</v>
      </c>
      <c r="AL8" s="26"/>
      <c r="AM8" s="27">
        <f t="shared" si="16"/>
        <v>2</v>
      </c>
      <c r="AN8" s="28">
        <f t="shared" si="17"/>
        <v>0</v>
      </c>
      <c r="AO8" s="29">
        <f t="shared" si="18"/>
        <v>2</v>
      </c>
    </row>
    <row r="9" ht="30.0" customHeight="1">
      <c r="A9" s="30" t="s">
        <v>47</v>
      </c>
      <c r="B9" s="31" t="s">
        <v>48</v>
      </c>
      <c r="C9" s="32" t="s">
        <v>49</v>
      </c>
      <c r="D9" s="33" t="s">
        <v>50</v>
      </c>
      <c r="E9" s="34" t="s">
        <v>45</v>
      </c>
      <c r="F9" s="35" t="s">
        <v>36</v>
      </c>
      <c r="G9" s="36" t="s">
        <v>37</v>
      </c>
      <c r="H9" s="24" t="str">
        <f t="shared" si="1"/>
        <v>Pendiente</v>
      </c>
      <c r="I9" s="37">
        <v>2.0</v>
      </c>
      <c r="J9" s="36"/>
      <c r="K9" s="38">
        <f t="shared" si="2"/>
        <v>2</v>
      </c>
      <c r="L9" s="36"/>
      <c r="M9" s="38">
        <f t="shared" si="3"/>
        <v>2</v>
      </c>
      <c r="N9" s="36"/>
      <c r="O9" s="38">
        <f t="shared" si="4"/>
        <v>2</v>
      </c>
      <c r="P9" s="36"/>
      <c r="Q9" s="36">
        <f t="shared" si="5"/>
        <v>2</v>
      </c>
      <c r="R9" s="39"/>
      <c r="S9" s="38">
        <f t="shared" si="6"/>
        <v>2</v>
      </c>
      <c r="T9" s="39"/>
      <c r="U9" s="40">
        <f t="shared" si="7"/>
        <v>2</v>
      </c>
      <c r="V9" s="36"/>
      <c r="W9" s="40">
        <f t="shared" si="8"/>
        <v>2</v>
      </c>
      <c r="X9" s="36"/>
      <c r="Y9" s="40">
        <f t="shared" si="9"/>
        <v>2</v>
      </c>
      <c r="Z9" s="36"/>
      <c r="AA9" s="40">
        <f t="shared" si="10"/>
        <v>2</v>
      </c>
      <c r="AB9" s="36"/>
      <c r="AC9" s="40">
        <f t="shared" si="11"/>
        <v>2</v>
      </c>
      <c r="AD9" s="39"/>
      <c r="AE9" s="40">
        <f t="shared" si="12"/>
        <v>2</v>
      </c>
      <c r="AF9" s="36"/>
      <c r="AG9" s="40">
        <f t="shared" si="13"/>
        <v>2</v>
      </c>
      <c r="AH9" s="36"/>
      <c r="AI9" s="40">
        <f t="shared" si="14"/>
        <v>2</v>
      </c>
      <c r="AJ9" s="36"/>
      <c r="AK9" s="40">
        <f t="shared" si="15"/>
        <v>2</v>
      </c>
      <c r="AL9" s="36"/>
      <c r="AM9" s="40">
        <f t="shared" si="16"/>
        <v>2</v>
      </c>
      <c r="AN9" s="28">
        <f t="shared" si="17"/>
        <v>0</v>
      </c>
      <c r="AO9" s="29">
        <f t="shared" si="18"/>
        <v>2</v>
      </c>
    </row>
    <row r="10" ht="30.0" customHeight="1">
      <c r="A10" s="9"/>
      <c r="B10" s="9"/>
      <c r="C10" s="32" t="s">
        <v>51</v>
      </c>
      <c r="D10" s="33" t="s">
        <v>52</v>
      </c>
      <c r="E10" s="34" t="s">
        <v>45</v>
      </c>
      <c r="F10" s="35" t="s">
        <v>36</v>
      </c>
      <c r="G10" s="36" t="s">
        <v>49</v>
      </c>
      <c r="H10" s="24" t="str">
        <f t="shared" si="1"/>
        <v>Pendiente</v>
      </c>
      <c r="I10" s="37">
        <v>1.0</v>
      </c>
      <c r="J10" s="36"/>
      <c r="K10" s="38">
        <f t="shared" si="2"/>
        <v>1</v>
      </c>
      <c r="L10" s="36"/>
      <c r="M10" s="38">
        <f t="shared" si="3"/>
        <v>1</v>
      </c>
      <c r="N10" s="36"/>
      <c r="O10" s="38">
        <f t="shared" si="4"/>
        <v>1</v>
      </c>
      <c r="P10" s="36"/>
      <c r="Q10" s="36">
        <f t="shared" si="5"/>
        <v>1</v>
      </c>
      <c r="R10" s="39"/>
      <c r="S10" s="38">
        <f t="shared" si="6"/>
        <v>1</v>
      </c>
      <c r="T10" s="39"/>
      <c r="U10" s="40">
        <f t="shared" si="7"/>
        <v>1</v>
      </c>
      <c r="V10" s="36"/>
      <c r="W10" s="40">
        <f t="shared" si="8"/>
        <v>1</v>
      </c>
      <c r="X10" s="36"/>
      <c r="Y10" s="40">
        <f t="shared" si="9"/>
        <v>1</v>
      </c>
      <c r="Z10" s="36"/>
      <c r="AA10" s="40">
        <f t="shared" si="10"/>
        <v>1</v>
      </c>
      <c r="AB10" s="36"/>
      <c r="AC10" s="40">
        <f t="shared" si="11"/>
        <v>1</v>
      </c>
      <c r="AD10" s="39"/>
      <c r="AE10" s="40">
        <f t="shared" si="12"/>
        <v>1</v>
      </c>
      <c r="AF10" s="36"/>
      <c r="AG10" s="40">
        <f t="shared" si="13"/>
        <v>1</v>
      </c>
      <c r="AH10" s="36"/>
      <c r="AI10" s="40">
        <f t="shared" si="14"/>
        <v>1</v>
      </c>
      <c r="AJ10" s="36"/>
      <c r="AK10" s="40">
        <f t="shared" si="15"/>
        <v>1</v>
      </c>
      <c r="AL10" s="36"/>
      <c r="AM10" s="40">
        <f t="shared" si="16"/>
        <v>1</v>
      </c>
      <c r="AN10" s="28">
        <f t="shared" si="17"/>
        <v>0</v>
      </c>
      <c r="AO10" s="29">
        <f t="shared" si="18"/>
        <v>1</v>
      </c>
    </row>
    <row r="11" ht="30.0" customHeight="1">
      <c r="A11" s="14"/>
      <c r="B11" s="14"/>
      <c r="C11" s="32" t="s">
        <v>53</v>
      </c>
      <c r="D11" s="33" t="s">
        <v>54</v>
      </c>
      <c r="E11" s="34" t="s">
        <v>35</v>
      </c>
      <c r="F11" s="41" t="s">
        <v>55</v>
      </c>
      <c r="G11" s="36" t="s">
        <v>51</v>
      </c>
      <c r="H11" s="24" t="str">
        <f t="shared" si="1"/>
        <v>Pendiente</v>
      </c>
      <c r="I11" s="37">
        <v>1.0</v>
      </c>
      <c r="J11" s="36"/>
      <c r="K11" s="38">
        <f t="shared" si="2"/>
        <v>1</v>
      </c>
      <c r="L11" s="36"/>
      <c r="M11" s="38">
        <f t="shared" si="3"/>
        <v>1</v>
      </c>
      <c r="N11" s="36"/>
      <c r="O11" s="38">
        <f t="shared" si="4"/>
        <v>1</v>
      </c>
      <c r="P11" s="36"/>
      <c r="Q11" s="36">
        <f t="shared" si="5"/>
        <v>1</v>
      </c>
      <c r="R11" s="39"/>
      <c r="S11" s="38">
        <f t="shared" si="6"/>
        <v>1</v>
      </c>
      <c r="T11" s="39"/>
      <c r="U11" s="40">
        <f t="shared" si="7"/>
        <v>1</v>
      </c>
      <c r="V11" s="36"/>
      <c r="W11" s="40">
        <f t="shared" si="8"/>
        <v>1</v>
      </c>
      <c r="X11" s="36"/>
      <c r="Y11" s="40">
        <f t="shared" si="9"/>
        <v>1</v>
      </c>
      <c r="Z11" s="36"/>
      <c r="AA11" s="40">
        <f t="shared" si="10"/>
        <v>1</v>
      </c>
      <c r="AB11" s="36"/>
      <c r="AC11" s="40">
        <f t="shared" si="11"/>
        <v>1</v>
      </c>
      <c r="AD11" s="39"/>
      <c r="AE11" s="40">
        <f t="shared" si="12"/>
        <v>1</v>
      </c>
      <c r="AF11" s="36"/>
      <c r="AG11" s="40">
        <f t="shared" si="13"/>
        <v>1</v>
      </c>
      <c r="AH11" s="36"/>
      <c r="AI11" s="40">
        <f t="shared" si="14"/>
        <v>1</v>
      </c>
      <c r="AJ11" s="36"/>
      <c r="AK11" s="40">
        <f t="shared" si="15"/>
        <v>1</v>
      </c>
      <c r="AL11" s="36"/>
      <c r="AM11" s="40">
        <f t="shared" si="16"/>
        <v>1</v>
      </c>
      <c r="AN11" s="28">
        <f t="shared" si="17"/>
        <v>0</v>
      </c>
      <c r="AO11" s="29">
        <f t="shared" si="18"/>
        <v>1</v>
      </c>
    </row>
    <row r="12" ht="30.0" customHeight="1">
      <c r="A12" s="17" t="s">
        <v>56</v>
      </c>
      <c r="B12" s="18" t="s">
        <v>57</v>
      </c>
      <c r="C12" s="19" t="s">
        <v>58</v>
      </c>
      <c r="D12" s="20" t="s">
        <v>59</v>
      </c>
      <c r="E12" s="21" t="s">
        <v>60</v>
      </c>
      <c r="F12" s="22" t="s">
        <v>36</v>
      </c>
      <c r="G12" s="23" t="s">
        <v>37</v>
      </c>
      <c r="H12" s="24" t="str">
        <f t="shared" si="1"/>
        <v>Pendiente</v>
      </c>
      <c r="I12" s="42">
        <v>2.0</v>
      </c>
      <c r="J12" s="26"/>
      <c r="K12" s="27">
        <f t="shared" si="2"/>
        <v>2</v>
      </c>
      <c r="L12" s="26"/>
      <c r="M12" s="27">
        <f t="shared" si="3"/>
        <v>2</v>
      </c>
      <c r="N12" s="26"/>
      <c r="O12" s="27">
        <f t="shared" si="4"/>
        <v>2</v>
      </c>
      <c r="P12" s="26"/>
      <c r="Q12" s="27">
        <f t="shared" si="5"/>
        <v>2</v>
      </c>
      <c r="R12" s="26"/>
      <c r="S12" s="27">
        <f t="shared" si="6"/>
        <v>2</v>
      </c>
      <c r="T12" s="26"/>
      <c r="U12" s="27">
        <f t="shared" si="7"/>
        <v>2</v>
      </c>
      <c r="V12" s="26"/>
      <c r="W12" s="27">
        <f t="shared" si="8"/>
        <v>2</v>
      </c>
      <c r="X12" s="26"/>
      <c r="Y12" s="27">
        <f t="shared" si="9"/>
        <v>2</v>
      </c>
      <c r="Z12" s="26"/>
      <c r="AA12" s="27">
        <f t="shared" si="10"/>
        <v>2</v>
      </c>
      <c r="AB12" s="26"/>
      <c r="AC12" s="27">
        <f t="shared" si="11"/>
        <v>2</v>
      </c>
      <c r="AD12" s="26"/>
      <c r="AE12" s="27">
        <f t="shared" si="12"/>
        <v>2</v>
      </c>
      <c r="AF12" s="26"/>
      <c r="AG12" s="27">
        <f t="shared" si="13"/>
        <v>2</v>
      </c>
      <c r="AH12" s="26"/>
      <c r="AI12" s="27">
        <f t="shared" si="14"/>
        <v>2</v>
      </c>
      <c r="AJ12" s="26"/>
      <c r="AK12" s="27">
        <f t="shared" si="15"/>
        <v>2</v>
      </c>
      <c r="AL12" s="26"/>
      <c r="AM12" s="27">
        <f t="shared" si="16"/>
        <v>2</v>
      </c>
      <c r="AN12" s="28">
        <f t="shared" si="17"/>
        <v>0</v>
      </c>
      <c r="AO12" s="29">
        <f t="shared" si="18"/>
        <v>2</v>
      </c>
    </row>
    <row r="13" ht="30.0" customHeight="1">
      <c r="A13" s="9"/>
      <c r="B13" s="9"/>
      <c r="C13" s="19" t="s">
        <v>61</v>
      </c>
      <c r="D13" s="20" t="s">
        <v>62</v>
      </c>
      <c r="E13" s="21" t="s">
        <v>35</v>
      </c>
      <c r="F13" s="22" t="s">
        <v>36</v>
      </c>
      <c r="G13" s="23" t="s">
        <v>58</v>
      </c>
      <c r="H13" s="24" t="str">
        <f t="shared" si="1"/>
        <v>Pendiente</v>
      </c>
      <c r="I13" s="25">
        <v>4.0</v>
      </c>
      <c r="J13" s="26"/>
      <c r="K13" s="27">
        <f t="shared" si="2"/>
        <v>4</v>
      </c>
      <c r="L13" s="26"/>
      <c r="M13" s="27">
        <f t="shared" si="3"/>
        <v>4</v>
      </c>
      <c r="N13" s="26"/>
      <c r="O13" s="27">
        <f t="shared" si="4"/>
        <v>4</v>
      </c>
      <c r="P13" s="26"/>
      <c r="Q13" s="27">
        <f t="shared" si="5"/>
        <v>4</v>
      </c>
      <c r="R13" s="26"/>
      <c r="S13" s="27">
        <f t="shared" si="6"/>
        <v>4</v>
      </c>
      <c r="T13" s="26"/>
      <c r="U13" s="27">
        <f t="shared" si="7"/>
        <v>4</v>
      </c>
      <c r="V13" s="26"/>
      <c r="W13" s="27">
        <f t="shared" si="8"/>
        <v>4</v>
      </c>
      <c r="X13" s="26"/>
      <c r="Y13" s="27">
        <f t="shared" si="9"/>
        <v>4</v>
      </c>
      <c r="Z13" s="26"/>
      <c r="AA13" s="27">
        <f t="shared" si="10"/>
        <v>4</v>
      </c>
      <c r="AB13" s="26"/>
      <c r="AC13" s="27">
        <f t="shared" si="11"/>
        <v>4</v>
      </c>
      <c r="AD13" s="26"/>
      <c r="AE13" s="27">
        <f t="shared" si="12"/>
        <v>4</v>
      </c>
      <c r="AF13" s="26"/>
      <c r="AG13" s="27">
        <f t="shared" si="13"/>
        <v>4</v>
      </c>
      <c r="AH13" s="26"/>
      <c r="AI13" s="27">
        <f t="shared" si="14"/>
        <v>4</v>
      </c>
      <c r="AJ13" s="26"/>
      <c r="AK13" s="27">
        <f t="shared" si="15"/>
        <v>4</v>
      </c>
      <c r="AL13" s="26"/>
      <c r="AM13" s="27">
        <f t="shared" si="16"/>
        <v>4</v>
      </c>
      <c r="AN13" s="28">
        <f t="shared" si="17"/>
        <v>0</v>
      </c>
      <c r="AO13" s="29">
        <f t="shared" si="18"/>
        <v>4</v>
      </c>
    </row>
    <row r="14" ht="30.0" customHeight="1">
      <c r="A14" s="9"/>
      <c r="B14" s="9"/>
      <c r="C14" s="19" t="s">
        <v>63</v>
      </c>
      <c r="D14" s="20" t="s">
        <v>64</v>
      </c>
      <c r="E14" s="21" t="s">
        <v>40</v>
      </c>
      <c r="F14" s="22" t="s">
        <v>36</v>
      </c>
      <c r="G14" s="23" t="s">
        <v>58</v>
      </c>
      <c r="H14" s="24" t="str">
        <f t="shared" si="1"/>
        <v>Pendiente</v>
      </c>
      <c r="I14" s="25">
        <v>5.0</v>
      </c>
      <c r="J14" s="26"/>
      <c r="K14" s="27">
        <f t="shared" si="2"/>
        <v>5</v>
      </c>
      <c r="L14" s="26"/>
      <c r="M14" s="27">
        <f t="shared" si="3"/>
        <v>5</v>
      </c>
      <c r="N14" s="26"/>
      <c r="O14" s="27">
        <f t="shared" si="4"/>
        <v>5</v>
      </c>
      <c r="P14" s="26"/>
      <c r="Q14" s="27">
        <f t="shared" si="5"/>
        <v>5</v>
      </c>
      <c r="R14" s="26"/>
      <c r="S14" s="27">
        <f t="shared" si="6"/>
        <v>5</v>
      </c>
      <c r="T14" s="26"/>
      <c r="U14" s="27">
        <f t="shared" si="7"/>
        <v>5</v>
      </c>
      <c r="V14" s="26"/>
      <c r="W14" s="27">
        <f t="shared" si="8"/>
        <v>5</v>
      </c>
      <c r="X14" s="26"/>
      <c r="Y14" s="27">
        <f t="shared" si="9"/>
        <v>5</v>
      </c>
      <c r="Z14" s="26"/>
      <c r="AA14" s="27">
        <f t="shared" si="10"/>
        <v>5</v>
      </c>
      <c r="AB14" s="26"/>
      <c r="AC14" s="27">
        <f t="shared" si="11"/>
        <v>5</v>
      </c>
      <c r="AD14" s="26"/>
      <c r="AE14" s="27">
        <f t="shared" si="12"/>
        <v>5</v>
      </c>
      <c r="AF14" s="26"/>
      <c r="AG14" s="27">
        <f t="shared" si="13"/>
        <v>5</v>
      </c>
      <c r="AH14" s="26"/>
      <c r="AI14" s="27">
        <f t="shared" si="14"/>
        <v>5</v>
      </c>
      <c r="AJ14" s="26"/>
      <c r="AK14" s="27">
        <f t="shared" si="15"/>
        <v>5</v>
      </c>
      <c r="AL14" s="26"/>
      <c r="AM14" s="27">
        <f t="shared" si="16"/>
        <v>5</v>
      </c>
      <c r="AN14" s="28">
        <f t="shared" si="17"/>
        <v>0</v>
      </c>
      <c r="AO14" s="29">
        <f t="shared" si="18"/>
        <v>5</v>
      </c>
    </row>
    <row r="15" ht="30.0" customHeight="1">
      <c r="A15" s="9"/>
      <c r="B15" s="9"/>
      <c r="C15" s="19" t="s">
        <v>65</v>
      </c>
      <c r="D15" s="20" t="s">
        <v>66</v>
      </c>
      <c r="E15" s="21" t="s">
        <v>35</v>
      </c>
      <c r="F15" s="22" t="s">
        <v>36</v>
      </c>
      <c r="G15" s="23" t="s">
        <v>67</v>
      </c>
      <c r="H15" s="24" t="str">
        <f t="shared" si="1"/>
        <v>Pendiente</v>
      </c>
      <c r="I15" s="42">
        <v>4.0</v>
      </c>
      <c r="J15" s="26"/>
      <c r="K15" s="27">
        <f t="shared" si="2"/>
        <v>4</v>
      </c>
      <c r="L15" s="26"/>
      <c r="M15" s="27">
        <f t="shared" si="3"/>
        <v>4</v>
      </c>
      <c r="N15" s="26"/>
      <c r="O15" s="27">
        <f t="shared" si="4"/>
        <v>4</v>
      </c>
      <c r="P15" s="26"/>
      <c r="Q15" s="27">
        <f t="shared" si="5"/>
        <v>4</v>
      </c>
      <c r="R15" s="26"/>
      <c r="S15" s="27">
        <f t="shared" si="6"/>
        <v>4</v>
      </c>
      <c r="T15" s="26"/>
      <c r="U15" s="27">
        <f t="shared" si="7"/>
        <v>4</v>
      </c>
      <c r="V15" s="26"/>
      <c r="W15" s="27">
        <f t="shared" si="8"/>
        <v>4</v>
      </c>
      <c r="X15" s="26"/>
      <c r="Y15" s="27">
        <f t="shared" si="9"/>
        <v>4</v>
      </c>
      <c r="Z15" s="26"/>
      <c r="AA15" s="27">
        <f t="shared" si="10"/>
        <v>4</v>
      </c>
      <c r="AB15" s="26"/>
      <c r="AC15" s="27">
        <f t="shared" si="11"/>
        <v>4</v>
      </c>
      <c r="AD15" s="26"/>
      <c r="AE15" s="27">
        <f t="shared" si="12"/>
        <v>4</v>
      </c>
      <c r="AF15" s="26"/>
      <c r="AG15" s="27">
        <f t="shared" si="13"/>
        <v>4</v>
      </c>
      <c r="AH15" s="26"/>
      <c r="AI15" s="27">
        <f t="shared" si="14"/>
        <v>4</v>
      </c>
      <c r="AJ15" s="26"/>
      <c r="AK15" s="27">
        <f t="shared" si="15"/>
        <v>4</v>
      </c>
      <c r="AL15" s="26"/>
      <c r="AM15" s="27">
        <f t="shared" si="16"/>
        <v>4</v>
      </c>
      <c r="AN15" s="28">
        <f t="shared" si="17"/>
        <v>0</v>
      </c>
      <c r="AO15" s="29">
        <f t="shared" si="18"/>
        <v>4</v>
      </c>
    </row>
    <row r="16" ht="30.0" customHeight="1">
      <c r="A16" s="14"/>
      <c r="B16" s="14"/>
      <c r="C16" s="43" t="s">
        <v>68</v>
      </c>
      <c r="D16" s="20" t="s">
        <v>69</v>
      </c>
      <c r="E16" s="21" t="s">
        <v>40</v>
      </c>
      <c r="F16" s="22" t="s">
        <v>36</v>
      </c>
      <c r="G16" s="23" t="s">
        <v>65</v>
      </c>
      <c r="H16" s="24" t="str">
        <f t="shared" si="1"/>
        <v>Pendiente</v>
      </c>
      <c r="I16" s="42">
        <v>3.0</v>
      </c>
      <c r="J16" s="26"/>
      <c r="K16" s="27">
        <f t="shared" si="2"/>
        <v>3</v>
      </c>
      <c r="L16" s="26"/>
      <c r="M16" s="27">
        <f t="shared" si="3"/>
        <v>3</v>
      </c>
      <c r="N16" s="26"/>
      <c r="O16" s="27">
        <f t="shared" si="4"/>
        <v>3</v>
      </c>
      <c r="P16" s="26"/>
      <c r="Q16" s="27">
        <f t="shared" si="5"/>
        <v>3</v>
      </c>
      <c r="R16" s="26"/>
      <c r="S16" s="27">
        <f t="shared" si="6"/>
        <v>3</v>
      </c>
      <c r="T16" s="26"/>
      <c r="U16" s="27">
        <f t="shared" si="7"/>
        <v>3</v>
      </c>
      <c r="V16" s="26"/>
      <c r="W16" s="27">
        <f t="shared" si="8"/>
        <v>3</v>
      </c>
      <c r="X16" s="26"/>
      <c r="Y16" s="27">
        <f t="shared" si="9"/>
        <v>3</v>
      </c>
      <c r="Z16" s="26"/>
      <c r="AA16" s="27">
        <f t="shared" si="10"/>
        <v>3</v>
      </c>
      <c r="AB16" s="26"/>
      <c r="AC16" s="27">
        <f t="shared" si="11"/>
        <v>3</v>
      </c>
      <c r="AD16" s="26"/>
      <c r="AE16" s="27">
        <f t="shared" si="12"/>
        <v>3</v>
      </c>
      <c r="AF16" s="26"/>
      <c r="AG16" s="27">
        <f t="shared" si="13"/>
        <v>3</v>
      </c>
      <c r="AH16" s="26"/>
      <c r="AI16" s="27">
        <f t="shared" si="14"/>
        <v>3</v>
      </c>
      <c r="AJ16" s="26"/>
      <c r="AK16" s="27">
        <f t="shared" si="15"/>
        <v>3</v>
      </c>
      <c r="AL16" s="26"/>
      <c r="AM16" s="27">
        <f t="shared" si="16"/>
        <v>3</v>
      </c>
      <c r="AN16" s="28">
        <f t="shared" si="17"/>
        <v>0</v>
      </c>
      <c r="AO16" s="29">
        <f t="shared" si="18"/>
        <v>3</v>
      </c>
    </row>
    <row r="17" ht="30.0" customHeight="1">
      <c r="A17" s="32" t="s">
        <v>70</v>
      </c>
      <c r="B17" s="33" t="s">
        <v>71</v>
      </c>
      <c r="C17" s="44" t="s">
        <v>72</v>
      </c>
      <c r="D17" s="33" t="s">
        <v>73</v>
      </c>
      <c r="E17" s="34" t="s">
        <v>40</v>
      </c>
      <c r="F17" s="41" t="s">
        <v>55</v>
      </c>
      <c r="G17" s="36" t="s">
        <v>63</v>
      </c>
      <c r="H17" s="24" t="str">
        <f t="shared" si="1"/>
        <v>Pendiente</v>
      </c>
      <c r="I17" s="45">
        <v>2.0</v>
      </c>
      <c r="J17" s="36"/>
      <c r="K17" s="38">
        <f t="shared" si="2"/>
        <v>2</v>
      </c>
      <c r="L17" s="36"/>
      <c r="M17" s="38">
        <f t="shared" si="3"/>
        <v>2</v>
      </c>
      <c r="N17" s="36"/>
      <c r="O17" s="38">
        <f t="shared" si="4"/>
        <v>2</v>
      </c>
      <c r="P17" s="36"/>
      <c r="Q17" s="36">
        <f t="shared" si="5"/>
        <v>2</v>
      </c>
      <c r="R17" s="39"/>
      <c r="S17" s="38">
        <f t="shared" si="6"/>
        <v>2</v>
      </c>
      <c r="T17" s="39"/>
      <c r="U17" s="40">
        <f t="shared" si="7"/>
        <v>2</v>
      </c>
      <c r="V17" s="36"/>
      <c r="W17" s="40">
        <f t="shared" si="8"/>
        <v>2</v>
      </c>
      <c r="X17" s="36"/>
      <c r="Y17" s="40">
        <f t="shared" si="9"/>
        <v>2</v>
      </c>
      <c r="Z17" s="36"/>
      <c r="AA17" s="40">
        <f t="shared" si="10"/>
        <v>2</v>
      </c>
      <c r="AB17" s="36"/>
      <c r="AC17" s="40">
        <f t="shared" si="11"/>
        <v>2</v>
      </c>
      <c r="AD17" s="39"/>
      <c r="AE17" s="40">
        <f t="shared" si="12"/>
        <v>2</v>
      </c>
      <c r="AF17" s="36"/>
      <c r="AG17" s="40">
        <f t="shared" si="13"/>
        <v>2</v>
      </c>
      <c r="AH17" s="36"/>
      <c r="AI17" s="40">
        <f t="shared" si="14"/>
        <v>2</v>
      </c>
      <c r="AJ17" s="36"/>
      <c r="AK17" s="40">
        <f t="shared" si="15"/>
        <v>2</v>
      </c>
      <c r="AL17" s="36"/>
      <c r="AM17" s="40">
        <f t="shared" si="16"/>
        <v>2</v>
      </c>
      <c r="AN17" s="28">
        <f t="shared" si="17"/>
        <v>0</v>
      </c>
      <c r="AO17" s="29">
        <f t="shared" si="18"/>
        <v>2</v>
      </c>
    </row>
    <row r="18" ht="30.0" customHeight="1">
      <c r="A18" s="17" t="s">
        <v>74</v>
      </c>
      <c r="B18" s="18" t="s">
        <v>75</v>
      </c>
      <c r="C18" s="43" t="s">
        <v>76</v>
      </c>
      <c r="D18" s="20" t="s">
        <v>77</v>
      </c>
      <c r="E18" s="21" t="s">
        <v>40</v>
      </c>
      <c r="F18" s="46" t="s">
        <v>55</v>
      </c>
      <c r="G18" s="23" t="s">
        <v>37</v>
      </c>
      <c r="H18" s="24" t="str">
        <f t="shared" si="1"/>
        <v>Pendiente</v>
      </c>
      <c r="I18" s="42">
        <v>4.0</v>
      </c>
      <c r="J18" s="26"/>
      <c r="K18" s="27">
        <f t="shared" si="2"/>
        <v>4</v>
      </c>
      <c r="L18" s="26"/>
      <c r="M18" s="27">
        <f t="shared" si="3"/>
        <v>4</v>
      </c>
      <c r="N18" s="26"/>
      <c r="O18" s="27">
        <f t="shared" si="4"/>
        <v>4</v>
      </c>
      <c r="P18" s="26"/>
      <c r="Q18" s="27">
        <f t="shared" si="5"/>
        <v>4</v>
      </c>
      <c r="R18" s="26"/>
      <c r="S18" s="27">
        <f t="shared" si="6"/>
        <v>4</v>
      </c>
      <c r="T18" s="26"/>
      <c r="U18" s="27">
        <f t="shared" si="7"/>
        <v>4</v>
      </c>
      <c r="V18" s="26"/>
      <c r="W18" s="27">
        <f t="shared" si="8"/>
        <v>4</v>
      </c>
      <c r="X18" s="26"/>
      <c r="Y18" s="27">
        <f t="shared" si="9"/>
        <v>4</v>
      </c>
      <c r="Z18" s="26"/>
      <c r="AA18" s="27">
        <f t="shared" si="10"/>
        <v>4</v>
      </c>
      <c r="AB18" s="26"/>
      <c r="AC18" s="27">
        <f t="shared" si="11"/>
        <v>4</v>
      </c>
      <c r="AD18" s="26"/>
      <c r="AE18" s="27">
        <f t="shared" si="12"/>
        <v>4</v>
      </c>
      <c r="AF18" s="26"/>
      <c r="AG18" s="27">
        <f t="shared" si="13"/>
        <v>4</v>
      </c>
      <c r="AH18" s="26"/>
      <c r="AI18" s="27">
        <f t="shared" si="14"/>
        <v>4</v>
      </c>
      <c r="AJ18" s="26"/>
      <c r="AK18" s="27">
        <f t="shared" si="15"/>
        <v>4</v>
      </c>
      <c r="AL18" s="26"/>
      <c r="AM18" s="27">
        <f t="shared" si="16"/>
        <v>4</v>
      </c>
      <c r="AN18" s="28">
        <f t="shared" si="17"/>
        <v>0</v>
      </c>
      <c r="AO18" s="29">
        <f t="shared" si="18"/>
        <v>4</v>
      </c>
    </row>
    <row r="19" ht="30.0" customHeight="1">
      <c r="A19" s="14"/>
      <c r="B19" s="14"/>
      <c r="C19" s="43" t="s">
        <v>78</v>
      </c>
      <c r="D19" s="20" t="s">
        <v>79</v>
      </c>
      <c r="E19" s="21" t="s">
        <v>40</v>
      </c>
      <c r="F19" s="46" t="s">
        <v>55</v>
      </c>
      <c r="G19" s="23" t="s">
        <v>80</v>
      </c>
      <c r="H19" s="24" t="str">
        <f t="shared" si="1"/>
        <v>Pendiente</v>
      </c>
      <c r="I19" s="42">
        <v>5.0</v>
      </c>
      <c r="J19" s="26"/>
      <c r="K19" s="27">
        <f t="shared" si="2"/>
        <v>5</v>
      </c>
      <c r="L19" s="26"/>
      <c r="M19" s="27">
        <f t="shared" si="3"/>
        <v>5</v>
      </c>
      <c r="N19" s="26"/>
      <c r="O19" s="27">
        <f t="shared" si="4"/>
        <v>5</v>
      </c>
      <c r="P19" s="26"/>
      <c r="Q19" s="27">
        <f t="shared" si="5"/>
        <v>5</v>
      </c>
      <c r="R19" s="26"/>
      <c r="S19" s="27">
        <f t="shared" si="6"/>
        <v>5</v>
      </c>
      <c r="T19" s="26"/>
      <c r="U19" s="27">
        <f t="shared" si="7"/>
        <v>5</v>
      </c>
      <c r="V19" s="26"/>
      <c r="W19" s="27">
        <f t="shared" si="8"/>
        <v>5</v>
      </c>
      <c r="X19" s="26"/>
      <c r="Y19" s="27">
        <f t="shared" si="9"/>
        <v>5</v>
      </c>
      <c r="Z19" s="26"/>
      <c r="AA19" s="27">
        <f t="shared" si="10"/>
        <v>5</v>
      </c>
      <c r="AB19" s="26"/>
      <c r="AC19" s="27">
        <f t="shared" si="11"/>
        <v>5</v>
      </c>
      <c r="AD19" s="26"/>
      <c r="AE19" s="27">
        <f t="shared" si="12"/>
        <v>5</v>
      </c>
      <c r="AF19" s="26"/>
      <c r="AG19" s="27">
        <f t="shared" si="13"/>
        <v>5</v>
      </c>
      <c r="AH19" s="26"/>
      <c r="AI19" s="27">
        <f t="shared" si="14"/>
        <v>5</v>
      </c>
      <c r="AJ19" s="26"/>
      <c r="AK19" s="27">
        <f t="shared" si="15"/>
        <v>5</v>
      </c>
      <c r="AL19" s="26"/>
      <c r="AM19" s="27">
        <f t="shared" si="16"/>
        <v>5</v>
      </c>
      <c r="AN19" s="28">
        <f t="shared" si="17"/>
        <v>0</v>
      </c>
      <c r="AO19" s="29">
        <f t="shared" si="18"/>
        <v>5</v>
      </c>
    </row>
    <row r="20" ht="30.0" customHeight="1">
      <c r="A20" s="30" t="s">
        <v>81</v>
      </c>
      <c r="B20" s="31" t="s">
        <v>82</v>
      </c>
      <c r="C20" s="44" t="s">
        <v>83</v>
      </c>
      <c r="D20" s="33" t="s">
        <v>84</v>
      </c>
      <c r="E20" s="34" t="s">
        <v>60</v>
      </c>
      <c r="F20" s="47" t="s">
        <v>85</v>
      </c>
      <c r="G20" s="36" t="s">
        <v>38</v>
      </c>
      <c r="H20" s="24" t="str">
        <f t="shared" si="1"/>
        <v>Pendiente</v>
      </c>
      <c r="I20" s="45">
        <v>2.0</v>
      </c>
      <c r="J20" s="36"/>
      <c r="K20" s="38">
        <f t="shared" si="2"/>
        <v>2</v>
      </c>
      <c r="L20" s="36"/>
      <c r="M20" s="38">
        <f t="shared" si="3"/>
        <v>2</v>
      </c>
      <c r="N20" s="36"/>
      <c r="O20" s="38">
        <f t="shared" si="4"/>
        <v>2</v>
      </c>
      <c r="P20" s="36"/>
      <c r="Q20" s="36">
        <f t="shared" si="5"/>
        <v>2</v>
      </c>
      <c r="R20" s="39"/>
      <c r="S20" s="38">
        <f t="shared" si="6"/>
        <v>2</v>
      </c>
      <c r="T20" s="39"/>
      <c r="U20" s="40">
        <f t="shared" si="7"/>
        <v>2</v>
      </c>
      <c r="V20" s="36"/>
      <c r="W20" s="40">
        <f t="shared" si="8"/>
        <v>2</v>
      </c>
      <c r="X20" s="36"/>
      <c r="Y20" s="40">
        <f t="shared" si="9"/>
        <v>2</v>
      </c>
      <c r="Z20" s="36"/>
      <c r="AA20" s="40">
        <f t="shared" si="10"/>
        <v>2</v>
      </c>
      <c r="AB20" s="36"/>
      <c r="AC20" s="40">
        <f t="shared" si="11"/>
        <v>2</v>
      </c>
      <c r="AD20" s="39"/>
      <c r="AE20" s="40">
        <f t="shared" si="12"/>
        <v>2</v>
      </c>
      <c r="AF20" s="36"/>
      <c r="AG20" s="40">
        <f t="shared" si="13"/>
        <v>2</v>
      </c>
      <c r="AH20" s="36"/>
      <c r="AI20" s="40">
        <f t="shared" si="14"/>
        <v>2</v>
      </c>
      <c r="AJ20" s="36"/>
      <c r="AK20" s="40">
        <f t="shared" si="15"/>
        <v>2</v>
      </c>
      <c r="AL20" s="36"/>
      <c r="AM20" s="40">
        <f t="shared" si="16"/>
        <v>2</v>
      </c>
      <c r="AN20" s="28">
        <f t="shared" si="17"/>
        <v>0</v>
      </c>
      <c r="AO20" s="29">
        <f t="shared" si="18"/>
        <v>2</v>
      </c>
    </row>
    <row r="21" ht="30.0" customHeight="1">
      <c r="A21" s="14"/>
      <c r="B21" s="14"/>
      <c r="C21" s="44" t="s">
        <v>80</v>
      </c>
      <c r="D21" s="33" t="s">
        <v>86</v>
      </c>
      <c r="E21" s="34" t="s">
        <v>60</v>
      </c>
      <c r="F21" s="47" t="s">
        <v>85</v>
      </c>
      <c r="G21" s="36" t="s">
        <v>87</v>
      </c>
      <c r="H21" s="24" t="str">
        <f t="shared" si="1"/>
        <v>Pendiente</v>
      </c>
      <c r="I21" s="45">
        <v>3.0</v>
      </c>
      <c r="J21" s="36"/>
      <c r="K21" s="38">
        <f t="shared" si="2"/>
        <v>3</v>
      </c>
      <c r="L21" s="36"/>
      <c r="M21" s="38">
        <f t="shared" si="3"/>
        <v>3</v>
      </c>
      <c r="N21" s="36"/>
      <c r="O21" s="38">
        <f t="shared" si="4"/>
        <v>3</v>
      </c>
      <c r="P21" s="36"/>
      <c r="Q21" s="36">
        <f t="shared" si="5"/>
        <v>3</v>
      </c>
      <c r="R21" s="39"/>
      <c r="S21" s="38">
        <f t="shared" si="6"/>
        <v>3</v>
      </c>
      <c r="T21" s="39"/>
      <c r="U21" s="40">
        <f t="shared" si="7"/>
        <v>3</v>
      </c>
      <c r="V21" s="36"/>
      <c r="W21" s="40">
        <f t="shared" si="8"/>
        <v>3</v>
      </c>
      <c r="X21" s="36"/>
      <c r="Y21" s="40">
        <f t="shared" si="9"/>
        <v>3</v>
      </c>
      <c r="Z21" s="36"/>
      <c r="AA21" s="40">
        <f t="shared" si="10"/>
        <v>3</v>
      </c>
      <c r="AB21" s="36"/>
      <c r="AC21" s="40">
        <f t="shared" si="11"/>
        <v>3</v>
      </c>
      <c r="AD21" s="39"/>
      <c r="AE21" s="40">
        <f t="shared" si="12"/>
        <v>3</v>
      </c>
      <c r="AF21" s="36"/>
      <c r="AG21" s="40">
        <f t="shared" si="13"/>
        <v>3</v>
      </c>
      <c r="AH21" s="36"/>
      <c r="AI21" s="40">
        <f t="shared" si="14"/>
        <v>3</v>
      </c>
      <c r="AJ21" s="36"/>
      <c r="AK21" s="40">
        <f t="shared" si="15"/>
        <v>3</v>
      </c>
      <c r="AL21" s="36"/>
      <c r="AM21" s="40">
        <f t="shared" si="16"/>
        <v>3</v>
      </c>
      <c r="AN21" s="28">
        <f t="shared" si="17"/>
        <v>0</v>
      </c>
      <c r="AO21" s="29">
        <f t="shared" si="18"/>
        <v>3</v>
      </c>
    </row>
    <row r="22" ht="21.75" customHeight="1">
      <c r="A22" s="48" t="s">
        <v>88</v>
      </c>
      <c r="B22" s="2"/>
      <c r="C22" s="2"/>
      <c r="D22" s="2"/>
      <c r="E22" s="2"/>
      <c r="F22" s="2"/>
      <c r="G22" s="2"/>
      <c r="H22" s="3"/>
      <c r="I22" s="49">
        <f t="shared" ref="I22:AO22" si="19">SUM(I5:I21)</f>
        <v>43</v>
      </c>
      <c r="J22" s="50">
        <f t="shared" si="19"/>
        <v>0</v>
      </c>
      <c r="K22" s="50">
        <f t="shared" si="19"/>
        <v>43</v>
      </c>
      <c r="L22" s="50">
        <f t="shared" si="19"/>
        <v>0</v>
      </c>
      <c r="M22" s="50">
        <f t="shared" si="19"/>
        <v>43</v>
      </c>
      <c r="N22" s="50">
        <f t="shared" si="19"/>
        <v>0</v>
      </c>
      <c r="O22" s="50">
        <f t="shared" si="19"/>
        <v>43</v>
      </c>
      <c r="P22" s="50">
        <f t="shared" si="19"/>
        <v>0</v>
      </c>
      <c r="Q22" s="50">
        <f t="shared" si="19"/>
        <v>43</v>
      </c>
      <c r="R22" s="50">
        <f t="shared" si="19"/>
        <v>0</v>
      </c>
      <c r="S22" s="50">
        <f t="shared" si="19"/>
        <v>43</v>
      </c>
      <c r="T22" s="50">
        <f t="shared" si="19"/>
        <v>0</v>
      </c>
      <c r="U22" s="50">
        <f t="shared" si="19"/>
        <v>43</v>
      </c>
      <c r="V22" s="50">
        <f t="shared" si="19"/>
        <v>0</v>
      </c>
      <c r="W22" s="50">
        <f t="shared" si="19"/>
        <v>43</v>
      </c>
      <c r="X22" s="50">
        <f t="shared" si="19"/>
        <v>0</v>
      </c>
      <c r="Y22" s="50">
        <f t="shared" si="19"/>
        <v>43</v>
      </c>
      <c r="Z22" s="50">
        <f t="shared" si="19"/>
        <v>0</v>
      </c>
      <c r="AA22" s="50">
        <f t="shared" si="19"/>
        <v>43</v>
      </c>
      <c r="AB22" s="50">
        <f t="shared" si="19"/>
        <v>0</v>
      </c>
      <c r="AC22" s="50">
        <f t="shared" si="19"/>
        <v>43</v>
      </c>
      <c r="AD22" s="50">
        <f t="shared" si="19"/>
        <v>0</v>
      </c>
      <c r="AE22" s="50">
        <f t="shared" si="19"/>
        <v>43</v>
      </c>
      <c r="AF22" s="50">
        <f t="shared" si="19"/>
        <v>0</v>
      </c>
      <c r="AG22" s="50">
        <f t="shared" si="19"/>
        <v>43</v>
      </c>
      <c r="AH22" s="50">
        <f t="shared" si="19"/>
        <v>0</v>
      </c>
      <c r="AI22" s="50">
        <f t="shared" si="19"/>
        <v>43</v>
      </c>
      <c r="AJ22" s="50">
        <f t="shared" si="19"/>
        <v>0</v>
      </c>
      <c r="AK22" s="50">
        <f t="shared" si="19"/>
        <v>43</v>
      </c>
      <c r="AL22" s="50">
        <f t="shared" si="19"/>
        <v>0</v>
      </c>
      <c r="AM22" s="50">
        <f t="shared" si="19"/>
        <v>43</v>
      </c>
      <c r="AN22" s="49">
        <f t="shared" si="19"/>
        <v>0</v>
      </c>
      <c r="AO22" s="49">
        <f t="shared" si="19"/>
        <v>43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0">
    <mergeCell ref="A1:AO1"/>
    <mergeCell ref="A2:A4"/>
    <mergeCell ref="B2:B4"/>
    <mergeCell ref="C2:C4"/>
    <mergeCell ref="D2:D4"/>
    <mergeCell ref="E2:E4"/>
    <mergeCell ref="F2:F4"/>
    <mergeCell ref="AN3:AO3"/>
    <mergeCell ref="I2:I4"/>
    <mergeCell ref="J2:S2"/>
    <mergeCell ref="J3:K3"/>
    <mergeCell ref="L3:M3"/>
    <mergeCell ref="N3:O3"/>
    <mergeCell ref="P3:Q3"/>
    <mergeCell ref="R3:S3"/>
    <mergeCell ref="A18:A19"/>
    <mergeCell ref="A20:A21"/>
    <mergeCell ref="A22:H22"/>
    <mergeCell ref="A5:A8"/>
    <mergeCell ref="B5:B8"/>
    <mergeCell ref="A9:A11"/>
    <mergeCell ref="B9:B11"/>
    <mergeCell ref="A12:A16"/>
    <mergeCell ref="B12:B16"/>
    <mergeCell ref="B18:B19"/>
    <mergeCell ref="B20:B21"/>
    <mergeCell ref="G2:G4"/>
    <mergeCell ref="H2:H4"/>
    <mergeCell ref="T2:AC2"/>
    <mergeCell ref="AD2:AM2"/>
    <mergeCell ref="T3:U3"/>
    <mergeCell ref="V3:W3"/>
    <mergeCell ref="X3:Y3"/>
    <mergeCell ref="Z3:AA3"/>
    <mergeCell ref="AB3:AC3"/>
    <mergeCell ref="AD3:AE3"/>
    <mergeCell ref="AF3:AG3"/>
    <mergeCell ref="AH3:AI3"/>
    <mergeCell ref="AJ3:AK3"/>
    <mergeCell ref="AL3:AM3"/>
  </mergeCells>
  <conditionalFormatting sqref="J5:J8 L5:L8 N5:N8 P5:P8 R5:R8 T5:T8 V5:V8 X5:X8 Z5:Z8 AB5:AB8 AD5:AD8 AF5:AF8 AH5:AH8 AJ5:AJ8 AL5:AL8 J12:J16 L12:L16 N12:N16 P12:P16 R12:R16 T12:T16 V12:V16 X12:X16 Z12:Z16 AB12:AB16 AD12:AD16 AF12:AF16 AH12:AH16 AJ12:AJ16 AL12:AL16 J18:J19 L18:L19 N18:N19 P18:P19 R18:R19 T18:T19 V18:V19 X18:X19 Z18:Z19 AB18:AB19 AD18:AD19 AF18:AF19 AH18:AH19 AJ18:AJ19 AL18:AL19">
    <cfRule type="notContainsBlanks" dxfId="0" priority="1">
      <formula>LEN(TRIM(J5))&gt;0</formula>
    </cfRule>
  </conditionalFormatting>
  <conditionalFormatting sqref="J5:J8 L5:L8 N5:N8 P5:P8 R5:R8 T5:T8 V5:V8 X5:X8 Z5:Z8 AB5:AB8 AD5:AD8 AF5:AF8 AH5:AH8 AJ5:AJ8 AL5:AL8 J12:J16 L12:L16 N12:N16 P12:P16 R12:R16 T12:T16 V12:V16 X12:X16 Z12:Z16 AB12:AB16 AD12:AD16 AF12:AF16 AH12:AH16 AJ12:AJ16 AL12:AL16 J18:J19 L18:L19 N18:N19 P18:P19 R18:R19 T18:T19 V18:V19 X18:X19 Z18:Z19 AB18:AB19 AD18:AD19 AF18:AF19 AH18:AH19 AJ18:AJ19 AL18:AL19">
    <cfRule type="containsBlanks" dxfId="1" priority="2">
      <formula>LEN(TRIM(J5))=0</formula>
    </cfRule>
  </conditionalFormatting>
  <conditionalFormatting sqref="K5:K8 K12:K16 K18:K19">
    <cfRule type="cellIs" dxfId="2" priority="3" operator="equal">
      <formula>0</formula>
    </cfRule>
  </conditionalFormatting>
  <conditionalFormatting sqref="K5:K8 K12:K16 K18:K19">
    <cfRule type="cellIs" dxfId="1" priority="4" operator="greaterThan">
      <formula>0</formula>
    </cfRule>
  </conditionalFormatting>
  <conditionalFormatting sqref="M5:M8 M12:M16 M18:M19">
    <cfRule type="cellIs" dxfId="2" priority="5" operator="equal">
      <formula>0</formula>
    </cfRule>
  </conditionalFormatting>
  <conditionalFormatting sqref="M5:M8 M12:M16 M18:M19">
    <cfRule type="cellIs" dxfId="1" priority="6" operator="greaterThan">
      <formula>0</formula>
    </cfRule>
  </conditionalFormatting>
  <conditionalFormatting sqref="O5:O8 Q5:Q8 S5:S8 U5:U8 W5:W8 Y5:Y8 AA5:AA8 AC5:AM8 O12:O16 Q12:Q16 S12:S16 U12:U16 W12:W16 Y12:Y16 AA12:AA16 AC12:AM16 O18:O19 Q18:Q19 S18:S19 U18:U19 W18:W19 Y18:Y19 AA18:AA19 AC18:AM19">
    <cfRule type="cellIs" dxfId="2" priority="7" operator="equal">
      <formula>0</formula>
    </cfRule>
  </conditionalFormatting>
  <conditionalFormatting sqref="O5:O8 Q5:Q8 S5:S8 U5:U8 W5:W8 Y5:Y8 AA5:AA8 AC5:AM8 O12:O16 Q12:Q16 S12:S16 U12:U16 W12:W16 Y12:Y16 AA12:AA16 AC12:AM16 O18:O19 Q18:Q19 S18:S19 U18:U19 W18:W19 Y18:Y19 AA18:AA19 AC18:AM19">
    <cfRule type="cellIs" dxfId="1" priority="8" operator="greaterThan">
      <formula>0</formula>
    </cfRule>
  </conditionalFormatting>
  <conditionalFormatting sqref="J9:J11 L9:L11 N9:N11 P9:P11 R9:R11 T9:T11 V9:V11 X9:X11 Z9:Z11 AB9:AB11 AD9:AD11 AF9:AF11 AH9:AH11 AJ9:AJ11 AL9:AL11 J17 L17 N17 P17 R17 T17 V17 X17 Z17 AB17 AD17 AF17 AH17 AJ17 AL17 J20:J21 L20:L21 N20:N21 P20:P21 R20:R21 T20:T21 V20:V21 X20:X21 Z20:Z21 AB20:AB21 AD20:AD21 AF20:AF21 AH20:AH21 AJ20:AJ21 AL20:AL21">
    <cfRule type="containsBlanks" dxfId="3" priority="9">
      <formula>LEN(TRIM(J9))=0</formula>
    </cfRule>
  </conditionalFormatting>
  <conditionalFormatting sqref="J9:J11 L9:L11 N9:N11 P9:P11 R9:R11 T9:T11 V9:V11 X9:X11 Z9:Z11 AB9:AB11 AD9:AD11 AF9:AF11 AH9:AH11 AJ9:AJ11 AL9:AL11 J17 L17 N17 P17 R17 T17 V17 X17 Z17 AB17 AD17 AF17 AH17 AJ17 AL17 J20:J21 L20:L21 N20:N21 P20:P21 R20:R21 T20:T21 V20:V21 X20:X21 Z20:Z21 AB20:AB21 AD20:AD21 AF20:AF21 AH20:AH21 AJ20:AJ21 AL20:AL21">
    <cfRule type="notContainsBlanks" dxfId="0" priority="10">
      <formula>LEN(TRIM(J9))&gt;0</formula>
    </cfRule>
  </conditionalFormatting>
  <conditionalFormatting sqref="K9:K11 M9:M11 O9:O11 Q9:Q11 S9:S11 U9:U11 W9:W11 Y9:Y11 AA9:AA11 AC9:AM11 K17 M17 O17 Q17 S17 U17 W17 Y17 AA17 AC17:AM17 K20:K21 M20:M21 O20:O21 Q20:Q21 S20:S21 U20:U21 W20:W21 Y20:Y21 AA20:AA21 AC20:AM21">
    <cfRule type="cellIs" dxfId="3" priority="11" operator="greaterThan">
      <formula>0</formula>
    </cfRule>
  </conditionalFormatting>
  <conditionalFormatting sqref="K9:K11 M9:M11 O9:O11 Q9:Q11 S9:S11 U9:U11 W9:W11 Y9:Y11 AA9:AA11 AC9:AM11 K17 M17 O17 Q17 S17 U17 W17 Y17 AA17 AC17:AM17 K20:K21 M20:M21 O20:O21 Q20:Q21 S20:S21 U20:U21 W20:W21 Y20:Y21 AA20:AA21 AC20:AM21">
    <cfRule type="cellIs" dxfId="2" priority="12" operator="equal">
      <formula>0</formula>
    </cfRule>
  </conditionalFormatting>
  <conditionalFormatting sqref="H5:H21">
    <cfRule type="cellIs" dxfId="4" priority="13" operator="equal">
      <formula>"Pendiente"</formula>
    </cfRule>
  </conditionalFormatting>
  <conditionalFormatting sqref="H5:H21">
    <cfRule type="cellIs" dxfId="5" priority="14" operator="equal">
      <formula>"En curso"</formula>
    </cfRule>
  </conditionalFormatting>
  <conditionalFormatting sqref="H5:H21">
    <cfRule type="cellIs" dxfId="6" priority="15" operator="equal">
      <formula>"Completada"</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57"/>
    <col customWidth="1" min="2" max="2" width="44.86"/>
  </cols>
  <sheetData>
    <row r="1">
      <c r="A1" s="51" t="s">
        <v>89</v>
      </c>
      <c r="B1" s="52"/>
    </row>
    <row r="2">
      <c r="A2" s="52"/>
      <c r="B2" s="52"/>
    </row>
    <row r="3">
      <c r="A3" s="53" t="s">
        <v>90</v>
      </c>
      <c r="B3" s="53" t="s">
        <v>91</v>
      </c>
    </row>
    <row r="4">
      <c r="A4" s="54" t="s">
        <v>1</v>
      </c>
      <c r="B4" s="55" t="s">
        <v>92</v>
      </c>
    </row>
    <row r="5">
      <c r="A5" s="54" t="s">
        <v>2</v>
      </c>
      <c r="B5" s="55" t="s">
        <v>93</v>
      </c>
    </row>
    <row r="6">
      <c r="A6" s="55" t="s">
        <v>3</v>
      </c>
      <c r="B6" s="55" t="s">
        <v>94</v>
      </c>
    </row>
    <row r="7">
      <c r="A7" s="55" t="s">
        <v>95</v>
      </c>
      <c r="B7" s="55" t="s">
        <v>96</v>
      </c>
    </row>
    <row r="8">
      <c r="A8" s="55" t="s">
        <v>8</v>
      </c>
      <c r="B8" s="55" t="s">
        <v>97</v>
      </c>
    </row>
    <row r="9">
      <c r="A9" s="55" t="s">
        <v>98</v>
      </c>
      <c r="B9" s="55" t="s">
        <v>99</v>
      </c>
    </row>
    <row r="10">
      <c r="A10" s="55" t="s">
        <v>100</v>
      </c>
      <c r="B10" s="55" t="s">
        <v>101</v>
      </c>
    </row>
    <row r="11">
      <c r="A11" s="55" t="s">
        <v>29</v>
      </c>
      <c r="B11" s="55" t="s">
        <v>102</v>
      </c>
    </row>
    <row r="12">
      <c r="A12" s="55" t="s">
        <v>30</v>
      </c>
      <c r="B12" s="55" t="s">
        <v>103</v>
      </c>
    </row>
    <row r="13">
      <c r="A13" s="55" t="s">
        <v>28</v>
      </c>
      <c r="B13" s="55" t="s">
        <v>104</v>
      </c>
    </row>
  </sheetData>
  <drawing r:id="rId1"/>
</worksheet>
</file>